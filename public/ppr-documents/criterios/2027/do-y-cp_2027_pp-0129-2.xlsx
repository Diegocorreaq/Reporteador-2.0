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62C7A2D2-1A2E-4E28-B01A-1A1B2D1265D5}" xr6:coauthVersionLast="47" xr6:coauthVersionMax="47" xr10:uidLastSave="{00000000-0000-0000-0000-000000000000}"/>
  <bookViews>
    <workbookView xWindow="-120" yWindow="-120" windowWidth="29040" windowHeight="15720" xr2:uid="{00000000-000D-0000-FFFF-FFFF00000000}"/>
  </bookViews>
  <sheets>
    <sheet name="2027" sheetId="1" r:id="rId1"/>
  </sheets>
  <definedNames>
    <definedName name="_xlnm._FilterDatabase" localSheetId="0" hidden="1">'2027'!$A$3:$BZ$37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3" i="1" l="1"/>
  <c r="E33" i="1"/>
  <c r="M20" i="1"/>
  <c r="M21" i="1"/>
  <c r="M22" i="1"/>
  <c r="M32" i="1"/>
  <c r="E32" i="1"/>
  <c r="M31" i="1"/>
  <c r="E31" i="1"/>
  <c r="M30" i="1"/>
  <c r="E30" i="1"/>
  <c r="M29" i="1"/>
  <c r="E29" i="1"/>
  <c r="M28" i="1"/>
  <c r="E28" i="1"/>
  <c r="M27" i="1"/>
  <c r="E27" i="1"/>
  <c r="M26" i="1"/>
  <c r="E26" i="1"/>
  <c r="M25" i="1"/>
  <c r="E25" i="1"/>
  <c r="M24" i="1"/>
  <c r="E24" i="1"/>
  <c r="M23" i="1"/>
  <c r="E23" i="1"/>
  <c r="E22" i="1"/>
  <c r="E21" i="1"/>
  <c r="E20" i="1"/>
  <c r="M19" i="1"/>
  <c r="E19" i="1"/>
  <c r="M18" i="1"/>
  <c r="E18" i="1"/>
  <c r="M17" i="1"/>
  <c r="E17" i="1"/>
  <c r="M16" i="1"/>
  <c r="E16" i="1"/>
  <c r="M15" i="1"/>
  <c r="E15" i="1"/>
  <c r="M14" i="1"/>
  <c r="E14" i="1"/>
  <c r="M13" i="1"/>
  <c r="E13" i="1"/>
  <c r="M12" i="1"/>
  <c r="E12" i="1"/>
  <c r="M11" i="1"/>
  <c r="E11" i="1"/>
  <c r="M10" i="1"/>
  <c r="E10" i="1"/>
  <c r="M9" i="1"/>
  <c r="E9" i="1"/>
  <c r="M8" i="1"/>
  <c r="E8" i="1"/>
  <c r="M34" i="1"/>
  <c r="M7" i="1"/>
  <c r="M6" i="1"/>
  <c r="M5" i="1"/>
  <c r="M4" i="1"/>
  <c r="E5" i="1"/>
  <c r="E6" i="1"/>
  <c r="E34" i="1"/>
  <c r="E4" i="1"/>
</calcChain>
</file>

<file path=xl/sharedStrings.xml><?xml version="1.0" encoding="utf-8"?>
<sst xmlns="http://schemas.openxmlformats.org/spreadsheetml/2006/main" count="587" uniqueCount="226">
  <si>
    <t>COD_PP</t>
  </si>
  <si>
    <t>NOMBRE DEL PROGRAMA</t>
  </si>
  <si>
    <t>NOMBRE DEL PRODUCTO</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</si>
  <si>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</si>
  <si>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</si>
  <si>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</si>
  <si>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</si>
  <si>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</si>
  <si>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</si>
  <si>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</si>
  <si>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</si>
  <si>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</si>
  <si>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</si>
  <si>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</si>
  <si>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</si>
  <si>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3000001 ACCIONES COMUNES</t>
  </si>
  <si>
    <t>No aplica</t>
  </si>
  <si>
    <t>087 PERSONA ATENDIDA</t>
  </si>
  <si>
    <t>PROGRAMA PRESUPUESTAL</t>
  </si>
  <si>
    <t>PRODUCTO</t>
  </si>
  <si>
    <t>ACTIVIDAD</t>
  </si>
  <si>
    <t>SUB PRODUCTO</t>
  </si>
  <si>
    <t>056 FAMILIA</t>
  </si>
  <si>
    <t>060 INFORME</t>
  </si>
  <si>
    <t>080 NORMA</t>
  </si>
  <si>
    <t>088 PERSONA CAPACITADA</t>
  </si>
  <si>
    <t>COD_PROD</t>
  </si>
  <si>
    <t>COD_UM</t>
  </si>
  <si>
    <t>0129</t>
  </si>
  <si>
    <t>0129 PREVENCION Y MANEJO DE CONDICIONES SECUNDARIAS DE SALUD EN PERSONAS CON DISCAPACIDAD</t>
  </si>
  <si>
    <t>5005144 DESARROLLO DE NORMAS Y GUIAS TECNICAS EN DISCAPACIDAD</t>
  </si>
  <si>
    <t>Normas técnicas aprobadas con Resolución Ministerial durante el I semestre y II semestre.
Fuente: Normas legales publicadas "El Peruano".</t>
  </si>
  <si>
    <t>5005146 IMPLEMENTACIÓN DE DOCUMENTOS TÉCNICOS NORMATIVOS</t>
  </si>
  <si>
    <t>5005145 MONITOREO, SUPERVISION, EVALUACION Y CONTROL DEL PROGRAMA PRESUPUESTAL</t>
  </si>
  <si>
    <t>3000688</t>
  </si>
  <si>
    <t>3000688 PERSONAS CON DISCAPACIDAD RECIBEN ATENCION DE REHABILITACION EN ESTABLECIMIENTOS DE SALUD</t>
  </si>
  <si>
    <t>5004449 CAPACITACIÓN EN MEDICINA DE REHABILITACIÓN.</t>
  </si>
  <si>
    <t>5005150 ATENCION DE REHABILITACION PARA PERSONAS CON DISCAPACIDAD FISICA</t>
  </si>
  <si>
    <t>0515001 LESIONES MEDULARES</t>
  </si>
  <si>
    <t xml:space="preserve">0515014 REHABILITACIÓN EN PATOLOGIA NEUROLOGICA </t>
  </si>
  <si>
    <t>0515006 TRANSTORNOS DEL DESARROLLO DE LA FUNCION  MOTRIZ</t>
  </si>
  <si>
    <t>0515007 ENFERMEDAD ARTICULAR DEGENERATIVA</t>
  </si>
  <si>
    <t>0515009 ENCEFALOPATIA INFANTIL</t>
  </si>
  <si>
    <t>0515011 SINDROME DE DOWN</t>
  </si>
  <si>
    <t>0515015 REHABILITACIÓN EN PATOLOGÍA DE LA COLUMNA VERTEBRAL Y OTROS TRASTORNOS POSTURALES</t>
  </si>
  <si>
    <t>0515016 REHABILITACIÓN CARDIOVASCULAR</t>
  </si>
  <si>
    <t>0515017 REHABILITACIÓN RESPIRATORIA</t>
  </si>
  <si>
    <t>0515018 REHABILITACIÓN EN ALTERACIONES DEL PISO PÉLVICO</t>
  </si>
  <si>
    <t>0515019 REHABILITACIÓN EN PATOLOGÍA TRAUMATOLÓGICA Y REUMATOLÓGICA</t>
  </si>
  <si>
    <t>0515020 REHABILITACIÓN ONCOLÓGICA</t>
  </si>
  <si>
    <t>0515021 REHABILITACIÓN DOLOR</t>
  </si>
  <si>
    <t>5005151</t>
  </si>
  <si>
    <t>5005151 ATENCION DE REHABILITACION PARA PERSONAS CON DISCAPACIDAD SENSORIAL</t>
  </si>
  <si>
    <t>0515103 SORDOMUDEZ</t>
  </si>
  <si>
    <t>0515105 ENFERMEDAD CEREBRO VASCULARES</t>
  </si>
  <si>
    <t>0515106 TRASTORNOS ESPECÍFICOS DEL DESARROLLO DEL HABLA Y LENGUAJE</t>
  </si>
  <si>
    <t>5005152</t>
  </si>
  <si>
    <t>5005152 ATENCION DE REHABILITACION PARA PERSONAS CON DISCAPACIDAD MENTAL</t>
  </si>
  <si>
    <t>3000689</t>
  </si>
  <si>
    <t>3000689 PERSONA CON DISCAPACIDAD CERTIFICADA EN ESTABLECIMIENTOS DE SALUD</t>
  </si>
  <si>
    <t>La meta física del producto es igual a la sumatoria de ambos subproductos.</t>
  </si>
  <si>
    <t>5005153</t>
  </si>
  <si>
    <t>5005153 CERTIFICACION DE DISCAPACIDAD</t>
  </si>
  <si>
    <t xml:space="preserve">Base de datos del aplicativo para el registro de certificados de discapacidad del Ministerio de Salud.   </t>
  </si>
  <si>
    <t>5005154</t>
  </si>
  <si>
    <t>5005154 CERTIFICACION DE INCAPACIDAD PARA EL TRABAJO</t>
  </si>
  <si>
    <t>El certificado de incapacidad, es otorgado por las Comisiones Médicas Calificadoras de la Incapacidad en Hospitales (a partir del Nivel II-1 e Institutos especializados) de acuerdo la Directiva Sanitaria N° 003-2006/MINSA-DGSP.V.01 "Aplicación Técnica del certificado Médico requerido para el otorgamiento de pensión de invalidez - D.S. Nº 166-2005-EF”, aprobada por Resolución Ministerial N° 478-2006/MINSA. La CMCI determina la condición de incapacidad para el trabajo por enfermedades y accidentes comunes al público objetivo especificado en la citada directiva.</t>
  </si>
  <si>
    <t>Reportes del HIS-MINSA de la Oficina de estadística de la ejecutora y /o región. 
Reporte y/o archivos de la CMCI, de los últimos 3 años</t>
  </si>
  <si>
    <t>3000690</t>
  </si>
  <si>
    <t>3000690 PERSONAS CON DISCAPACIDAD RECIBEN SERVICIOS DE REHABILITACION BASADA EN LA COMUNIDAD</t>
  </si>
  <si>
    <t>5005155</t>
  </si>
  <si>
    <t>5005924</t>
  </si>
  <si>
    <t>5005925</t>
  </si>
  <si>
    <t>5004449 CAPACITACION EN MEDICINA DE REHABILITACION</t>
  </si>
  <si>
    <t>0515013 REHABILITACIÓN EN PACIENTES AMPUTADOS</t>
  </si>
  <si>
    <t>0515022 REHABILITACIÓN EN PACIENTES QUEMADOS</t>
  </si>
  <si>
    <t>0515101 HIPOACUSIA Y/O SORDERA</t>
  </si>
  <si>
    <t>0515102 BAJA VISION Y/O CEGUERA</t>
  </si>
  <si>
    <t>0515107 DISARTRIA Y DISFAGIA</t>
  </si>
  <si>
    <t>0515201 TRANSTORNOS DE APRENDIZAJE</t>
  </si>
  <si>
    <t>0515202 RETRASO MENTAL: LEVE, MODERADO, SEVERO</t>
  </si>
  <si>
    <t>0515203 TRANSTORNOS DEL ESPECTRO AUTISTA</t>
  </si>
  <si>
    <t>0515204 OTROS TRANSTORNOS DE SALUD MENTAL</t>
  </si>
  <si>
    <t xml:space="preserve">5005925 CAPACITACIÓN A ACTORES SOCIALES PARA LA APLICACIÓN DE LA ESTRATEGIA RBC </t>
  </si>
  <si>
    <t xml:space="preserve">Proceso a seguir para la formulación y aprobación de documentos técnicos normativos relacionados al manejo de la persona con discapacidad a través de la habilitación y rehabilitación, considerando la pertinencia cultural.  En atención a la Resolución Ministerial 826-2021/MINSA, que aprueba el documento “Normas para la Elaboración de Documentos Normativos de Ministerio de Salud”. </t>
  </si>
  <si>
    <t>087</t>
  </si>
  <si>
    <t>La meta física de la actividad es igual a la meta física del subproducto.</t>
  </si>
  <si>
    <t xml:space="preserve">5005924 VISITAS A FAMILIAS PARA REHABILITACION BASADA EN LA COMUNIDAD </t>
  </si>
  <si>
    <t>5005155 CAPACITACIÓN A AGENTES COMUNITARIOS EN REHABILITACION BASADA EN LA COMUNIDAD</t>
  </si>
  <si>
    <t>5005924 VISITAS A LAS FAMILIAS PARA REHABILITACIÓN BASADA EN LA COMUNIDAD</t>
  </si>
  <si>
    <t>5005155 CAPACITACIÓN A AGENTES COMUNITARIOS EN REHABILITACIÓN BASADA EN LA COMUNIDAD</t>
  </si>
  <si>
    <t>5005925 CAPACITACION A ACTORES SOCIALES PARA LA APLICACIÓN DE LA ESTRATEGIA RBC</t>
  </si>
  <si>
    <t xml:space="preserve">La meta física del producto  es igual a la suma de la meta física de los subproductos 5005150, 5005151, 5005152 excepto el subproducto 5004449 CAPACITACIÓN EN MEDICINA DE REHABILITACIÓN.
</t>
  </si>
  <si>
    <t xml:space="preserve">
Es la suma de la meta física de los subproductos 5005150, 5005151, 5005152 excepto el subproducto 5004449 CAPACITACIÓN EN MEDICINA DE REHABILITACIÓN.</t>
  </si>
  <si>
    <t>Es la suma de la meta física de los subproductos 0515201 TRANSTORNOS DE APRENDIZAJE, 0515202 RETRASO MENTAL: LEVE, MODERADO, SEVERO; 0515203 TRANSTORNOS DEL ESPECTRO AUTISTA, 0515204 OTROS TRANSTORNOS DE SALUD MENTAL.</t>
  </si>
  <si>
    <t>Se programará 04 informes al año
Dos (02) informes de evaluación y control (1 al 1er semestre y 1 anual) y dos (02 informes de monitoreo y supervisión semestrales</t>
  </si>
  <si>
    <t xml:space="preserve">Es igual a la meta física del Subproducto: 5005145 Monitoreo, supervisión y evaluación del programa. </t>
  </si>
  <si>
    <t>Solo programa: MINSA.
Se programará el número de documentos normativos a formular y aprobar en el periodo según corresponda.</t>
  </si>
  <si>
    <t>Es la suma de la meta física de los subproductos 5005150, 5005151, 5005152 excepto el subproducto 5004449 CAPACITACIÓN EN MEDICINA DE REHABILITACIÓN.</t>
  </si>
  <si>
    <t>Proceso de  ejecución o aplicación de las acciones determinadas en los documentos técnicos normativos en discapacidad aprobados.
La implementación se realiza a través de la socialización y difusión de los documentos técnicos normativos, con el objeto de poner a disposición el documento aprobado a todas las unidades orgánicas, dependencias, entidades, instituciones, y sociedad civil priorizando aquellas que están directamente involucradas en su aplicación.
La difusión se complementa mediante la publicación en medios impresos, magnéticos, cibernéticos y reuniones de información para su conocimiento y aplicación.</t>
  </si>
  <si>
    <t xml:space="preserve"> </t>
  </si>
  <si>
    <t>La meta física del producto es igual a la meta física del subproducto “Visitas a familias para Rehabilitación Basada en la Comunidad (5005924)</t>
  </si>
  <si>
    <t xml:space="preserve">Reporte oficial de Nº de agentes comunitarios reconocido por Promoción de la Salud y/o de gobiernos locales de la jurisdicción.
</t>
  </si>
  <si>
    <t xml:space="preserve">* Persona capacitada registrada en INFORHUS o en el informe del PP 0129.
* RENIPRESS (Para estimar el número de EE.SS que cuenta con         UPSS-MR o Unidad Funcional de Rehabilitación).
</t>
  </si>
  <si>
    <t>* Número de  Persona capacitada registrada en INFORHUS o en el informe del PP 0129.
* RENIPRESS (Para estimar el número de EE.SS que cuenta con UPSS-MR o Unidades funcionales de Rehabilitación). 
Fuente: Informes registrados en la base de datos de tramite documentario, registro de expedientes del MINSA correspondiente al año en curso.</t>
  </si>
  <si>
    <t xml:space="preserve">Reporte de atendidos   HIS-MIS y/o HIS DIS del año anterior. 
RENIPRESS (Para estimar el número de EE.SS que cuenta con UPSS -MR ).
</t>
  </si>
  <si>
    <t xml:space="preserve">Reporte de atendidos   HIS-MIS y/o HIS DIS del año anterior.
RENIPRESS (Para estimar  el número de EE.SS que cuenta con UPSS-MR o Unidad Funcional de Medicina Física y Rehabilitación).
</t>
  </si>
  <si>
    <t xml:space="preserve">Reporte de atendidos   HIS-MIS y/o HIS DIS del año anterior.
RENIPRESS (Para estimar  el número de EE.SS que cuenta con UPSS-MR o Unidad Funcional de Medicina Física y Rehabilitación ).
</t>
  </si>
  <si>
    <t>Reporte de atendidos   HIS-MIS y/o HIS DIS del año anterior.
RENIPRESS (Para estimar  el número de EE.SS que cuenta con UPSS-MR o Unidad Funcional de Medicina Física y Rehabilitación).</t>
  </si>
  <si>
    <t>Reporte de atendidos   HIS-MIS y/o HIS DIS del año anterior.
RENIPRESS (Para estimar  el número de EE.SS que cuenta con UPSS-MR).</t>
  </si>
  <si>
    <t>Reporte de atendidos   HIS-MIS y/o HIS DIS del año anterior.
RENIPRESS (Para estimar  el número de EE.SS que cuenta con UPSS-MR o Unidad Funcional de Medicina Física y Rehabilitación ).</t>
  </si>
  <si>
    <t>Reporte de atendidos   HIS-MIS y/o HIS DIS del año anterior.
RENIPRESS (Para estimar  el número de EE.SS que cuenta con UPSS-MR o Unidad Funcional de Medicina de Rehabilitación).</t>
  </si>
  <si>
    <t>Reporte de atendidos   HIS-MIS y/o HIS DIS del año anterior.
RENIPRESS (Para estimar  el número de EE.SS que cuenta con UPSS-MR o  Unidad Funcional de Medicina Física y Rehabilitación).</t>
  </si>
  <si>
    <t xml:space="preserve">Reporte de atendidos   HIS-MIS y/o HIS DIS del año anterior.
RENIPRESS (Para estimar  el número de EE.SS que cuenta con UPSS-MR).
</t>
  </si>
  <si>
    <t>Programan los EE.SS que cuenten con una comisión certificadora de incapacidad
Se programara teniendo en cuenta el Promedio de los Certificados Médicos de incapacidad emitidos por la Comisión Médica Calificadora de Incapacidad de los de los últimos tres años.</t>
  </si>
  <si>
    <t>5005145 MONITOREO, SUPERVISION, EVALUACION DEL PROGRAMA PRESUPUESTAL EN DISCAPACIDAD</t>
  </si>
  <si>
    <t>Es igual a la meta física del subproducto: 5004449 Capacitación en medicina de rehabiitación</t>
  </si>
  <si>
    <t>Es la suma de la meta física de los subproductos 0515001 lesiones medulares, 0515006 trastornos del desarrollo de la función  motriz, 0515007 enfermedad articular degenerativa, 0515009 encefalopatía infantil, 0515011 síndrome de DOWN, 0515013 rehabilitación en pacientes amputados, 0515014 rehabilitación en patología neurológica, 0515015 rehabilitación en patología de la columna vertebral y otros trastornos posturales, 0515016 rehabilitación cardiovascular, 0515017 rehabilitación respiratoria, 0515018 rehabilitación en alteraciones del piso pélvico, 0515019 rehabilitación en patología traumatológica y reumatológica, 0515020 rehabilitación oncológica, 0515021 rehabilitación dolor y 0515022 rehabilitación en pacientes quemados.</t>
  </si>
  <si>
    <t>Es la suma de la meta física de los subproductos 0515101 hipoacusia y/o sordera, 0515102 baja visión y/o ceguera, 0515103 sordomudez, 0515105 enfermedad cerebro vasculares, 0515106 trastornos específicos del desarrollo del habla y lenguaje, 0515107 disartria y disfagia.</t>
  </si>
  <si>
    <t>Es la suma de la meta física de los subproductos 0515201 trastornos de aprendizaje, 0515202 retraso mental: leve, moderado, severo; 0515203 trastornos del espectro autista, 0515204 otros trastornos de salud mental.</t>
  </si>
  <si>
    <t xml:space="preserve">Esta actividad lo realizan:  EE.SS con (UPSS MR) o Unidad Funcional de Medicina Física y Rehabilitación de acuerdo a la carter de servicios. 
Se programará dos (02) capacitaciones al año, destinado al 80% del personal de salud de las UPSSMR, cada una con un mínimo de 24 horas académicas o 48 horas al año.
Para la meta física del producto se tendrá en cuenta el número de recurso humano (médicos rehabilitadores, médicos y profesionales de la salud relacionados a la rehabilitación).
</t>
  </si>
  <si>
    <t>Número de Certificados de Incapacidad para el trabajo emitidos durante el año en establecimientos de salud del segundo y tercer nivel que cuenten con Resolución Institucional de conformación de comisión médica calificadora de discapacidad. 
código CPMS del HIS MINSA: 99214.03
Fuente: HIS-MINSA. Reportes y/o Informes de la CMCI</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</si>
  <si>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Síndrome de Down durante el año en ejercicio,  registradas con los códigos:  Q90 Síndrome de Down (Q900, Q901, Q902, Q909, considere todas sus variables) o procedimientos registrados en el CPMS.
Fuente: HIS-MIS y/o HIS DIS.
Reporte mensual, semestral o anual según corresponda, del año en curso.</t>
  </si>
  <si>
    <t xml:space="preserve">Programan los EE.SS con UPSS-MR  o Unidad Funcional de Medicina Física y Rehabilitación.
Incrementar el 5% a la sumatoria de la Persona con discapacidad atendida identificada por única vez mediante DNI o carnet de extranjería, en el año anterior  con diagnósticos  de deficiencias comprendidas en el grupo seleccionado de Trastornos del desarrollo de la función motriz, registrados en las UPSS-MR con códigos CIE 10 listados a continuación :   Q650, Q651, Q652, Q653, Q654, Q655, Q656, Q658, Q659, Q660, Q661, Q662, Q663, Q664, Q665, Q666, Q667, Q668, Q669, Q671, Q672, Q673, Q674, Q675, Q676, Q677, Q678, Q74, Q740, Q741, Q742, Q748, Q749, Q750, Q751, Q752, Q753, Q754, Q755, Q758, Q759, Q760, Q761, Q762, Q763, Q764, Q765, Q766, Q767, Q768, Q769, Q771, Q772, Q773, Q775, Q776, Q777, Q778, Q779, Q780, Q781, Q782, Q783, Q784, Q785, Q786, Q788, Q789, Q790, Q791, Q792, Q793, Q794, Q795, Q796, Q798, Q799 o  procedimientos de CPMS
</t>
  </si>
  <si>
    <t xml:space="preserve">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Trastornos del desarrollo de la función motriz durante el año en ejercicio,  registradas con los códigos CIE 10 :  Q650, Q651, Q652, Q653, Q654, Q655, Q656, Q658, Q659, Q660, Q661, Q662, Q663, Q664, Q665, Q666, Q667, Q668, Q669, Q671, Q672, Q673, Q674, Q675, Q676, Q677, Q678, Q74, Q740, Q741, Q742, Q748, Q749, Q750, Q751, Q752, Q753, Q754, Q755, Q758, Q759, Q760, Q761, Q762, Q763, Q764, Q765, Q766, Q767, Q768, Q769, Q771, Q772, Q773, Q775, Q776, Q777, Q778, Q779, Q780, Q781, Q782, Q783, Q784, Q785, Q786, Q788, Q789, Q790, Q791, Q792, Q793, Q794, Q795, Q796, Q798, Q799 o procedimientos registrados en el CPMS.
- Fuente: * HIS-MIS y/o HIS DIS. 
              * Reporte mensual, semestral o anual según corresponda, del año en curso.
</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</si>
  <si>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Enfermedad  Articular Degenerativa durante el año en ejercicio, registrados con los códigos CIE 10 :   M150, M151, M152, M153, M154, M158, M159, M160, M161, M162, M163, M164, M165, M166, M167, M169, M170, M171, M172, M173, M174, M175, M179, M180, M181, M182, M183, M184, M185, M189, M190, M191, M192, M198, M199, M224, M235, M238, M239, M241, M470, M472, M478, M479 o procedimientos registrados en el CPMS.
Fuente: HIS-MIS y/o HIS DIS.
Reporte mensual, semestral o anual según corresponda, del año en curso.</t>
  </si>
  <si>
    <t>Programan los EE.SS con UPSS-MR  o Unidad Funcional de Medicina Física y Rehabilitación.
Incrementar el 5% a la sumatoria de  la Persona con discapacidad atendida identificada por única vez mediante DNI o carnet de extranjería, en el año anterior  con diagnósticos de deficiencias comprendidas en el grupo seleccionado de  Enfermedad  Articular Degenerativa, registrados en las UPSS-MR  con los códigos CIE 10 listados a continuación :  M150, M151, M152, M153, M154, M158, M159, M160, M161, M162, M163, M164, M165, M166, M167, M169, M170, M171, M172, M173, M174, M175, M179, M180, M181, M182, M183, M184, M185, M189, M190, M191, M192, M198, M199, M224, M235, M238, M239, M241, M470, M472, M478, M479  o  procedimientos de CPMS.</t>
  </si>
  <si>
    <t xml:space="preserve">Programan los EE.SS con UPSS-MR  o Unidad Funcional de Medicina Física y Rehabilitación .
Incrementar el 5% a la sumatoria de la Persona con discapacidad atendida identificada por única vez mediante DNI o carnet de extranjería, en el año anterior  con diagnósticos  de deficiencias comprendidas en el grupo seleccionado de Encefalopatía Infantil, registrados en las UPSS-MR con códigos  CIE 10 listados a continuación:  A32.1, B58.2, F83X, G00, G00.0, G00.1, G00.2, G00.3, G00.8, G00.9, G01, G02, G03, G04, G04.2, G05, G800, G801, G802, G803, G804, G808, G809, G82, G91, G91.0, G91.1, G91.2, G91.3, G91.8, G91.9, P90, P940, P941, P942, P948, P949, Q00, Q01, Q02, Q03, Q04, Q07  o  procedimientos de CPMS.
</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</si>
  <si>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la  deficiencias comprendidas en el grupo seleccionado de Encefalopatía Infantil, registrados en las UPSS-MR con códigos  CIE 10 listados a continuación:  A32.1, B58.2, F83X, G00, G00.0, G00.1, G00.2, G00.3, G00.8, G00.9, G01, G02, G03, G04, G04.2, G05, G800, G801, G802, G803, G804, G808, G809, G82, G91, G91.0, G91.1, G91.2, G91.3, G91.8, G91.9, P90, P940, P941, P942, P948, P949, Q00, Q01, Q02, Q03, Q04, Q07  o  procedimientos de CPMS.
Fuente: HIS-MIS y/o HIS DIS.
Reporte mensual, semestral o anual según corresponda, del año en curso.</t>
  </si>
  <si>
    <t xml:space="preserve">Programan  los EE.SS con UPSS-MR
Incrementar el 5% a la sumatoria de la Persona con discapacidad atendida identificada por única vez mediante DNI o carnet de extranjería, en el año anterior  con diagnósticos de deficiencias comprendidas en el grupo seleccionado de Síndrome de Down, registrados en las UPSS-MR con códigos CIE 10 listados a continuación :  Q90 Síndrome de Down (Q900, Q901, Q902, Q909 Considere todas sus variables), o  procedimientos de CPMS.
</t>
  </si>
  <si>
    <t xml:space="preserve">Programan los EE.SS con UPSS-MR
Incrementar el 5% a la sumatoria de la Persona con discapacidad atendida identificada por única vez mediante DNI o carnet de extranjería, en el año anterior  con diagnósticos  de deficiencias comprendidas en el grupo seleccionado en Personas Amputadas, registrados en las UPSS-MR con códigos CIE 10 listados a continuación :  S480, S481, S489, S580, S581, S589, S680, S681, S682, S683, S684, S688, S689, T050, T051, T052, T056, T058, T059, Z890, Z891, Z892, Z893, Z898, S780, S781, S789, S880, S881, S889, S980, S981, S982, S983, S984, T053, T054, T055, Z894, Z895, Z896, Z897 o  procedimientos de CPMS  </t>
  </si>
  <si>
    <t xml:space="preserve">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Rehabilitación en Personas Amputados con códigos CIE 10 listados a continuación:   S480, S481, S489, S580, S581, S589, S680, S681, S682, S683, S684, S688, S689, T050, T051, T052, T056, T058, T059, Z890, Z891, Z892, Z893, Z898, S780, S781, S789, S880, S881, S889, S980, S981, S982, S983, S984, T053, T054, T055, Z894, Z895, Z896, Z897 o procedimientos registrados en el CPMS .
- Fuente: * HIS-MIS y/o HIS DIS. 
              * Reporte mensual, semestral o anual según corresponda, del año en curso.
</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</si>
  <si>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Rehabilitación neurológica durante el año en ejercicio, con códigos CIE 10 : G120, G121, G129, G700, G701, G702, G708, G709, G710, G711, G712, G713, G718, G719, G720, G721, G723, G724, G728, G729, G730, G731, G732, G733, G500, G501, G508, G509, G510, G511, G512, G513, G514, G518, G519, G530, G531, G532, G533, G538, G540, G541, G542, G543, G544, G545, G546, G547, G548, G549, G550, G551, G552, G553, G558, G560, G561, G562, G563, G564, G568, G569, G570, G571, G572, G573, G574, G575, G576, G578, G579, G580, G587, G588, G589, G590, G598, G600, G601, G602, G603, G608, G609, G610, G611, G618, G619, G620, G621, G622, G628, G629, G630, G631, G632, G633, G634, G635, G636, G638, G64X, M501, M511, M541, M543, M544, M792, P140, P141, P142, P143, P148, P149, S142, S143, S242, S243, S342, S343, S344, S346, S440, S441, S442, S443, S444, S445, S447, S448, S449, S540, S541, S542, S543, S547, S548, S549, S640, S641, S642, S643, S644, S647, S648, S649, S840, S841, S842, S847, S848, S849, S940, S941, S942, S943, S947, S948, S949, G811, I600, I601, I602, I603, I604, I605, I606, I607, I608, I609, I610, I611, I612, I613, I614, I615, I616, I618, I619, I620, I621, I629, I630, I631, I632, I633, I634, I635, I636, I638, I639, I64X, I650, I651, I652, I653, I658, I659, I660, I661, I662, I663, I664, I668, I669, I670, I671, I672, I673, I674, I675, I676, I677, I678, I679, I680, I681, I682, I688, I690, I69.4, Q282, G20X, G210, G211, G212, G213, G214, G218, G219, G22X o procedimientos registrados en el CPMS.
Fuente: HIS-MIS y/o HIS DIS.
Reporte mensual, semestral o anual según corresponda, del año en curso.</t>
  </si>
  <si>
    <t xml:space="preserve">Programan los EE.SS con UPSS-MR o  Unidad Funcional de Medicina Física y Rehabilitación
Incrementar el 5% a la sumatoria de la Persona con discapacidad atendida identificada por única vez mediante DNI o carnet de extranjería, en el año anterior  con diagnósticos de deficiencias comprendidas en el grupo seleccionado en  rehabilitación neurológica, registrados en las UPSS-MR con códigos CIE 10 listados a continuación : G120, G121, G129, G700, G701, G702, G708, G709, G710, G711, G712, G713, G718, G719, G720, G721, G723, G724, G728, G729, G730, G731, G732, G733, G500, G501, G508, G509, G510, G511, G512, G513, G514, G518, G519, G530, G531, G532, G533, G538, G540, G541, G542, G543, G544, G545, G546, G547, G548, G549, G550, G551, G552, G553, G558, G560, G561, G562, G563, G564, G568, G569, G570, G571, G572, G573, G574, G575, G576, G578, G579, G580, G587, G588, G589, G590, G598, G600, G601, G602, G603, G608, G609, G610, G611, G618, G619, G620, G621, G622, G628, G629, G630, G631, G632, G633, G634, G635, G636, G638, G64X, M501, M511, M541, M543, M544, M792, P140, P141, P142, P143, P148, P149, S142, S143, S242, S243, S342, S343, S344, S346, S440, S441, S442, S443, S444, S445, S447, S448, S449, S540, S541, S542, S543, S547, S548, S549, S640, S641, S642, S643, S644, S647, S648, S649, S840, S841, S842, S847, S848, S849, S940, S941, S942, S943, S947, S948, S949, G811, I600, I601, I602, I603, I604, I605, I606, I607, I608, I609, I610, I611, I612, I613, I614, I615, I616, I618, I619, I620, I621, I629, I630, I631, I632, I633, I634, I635, I636, I638, I639, I64X, I650, I651, I652, I653, I658, I659, I660, I661, I662, I663, I664, I668, I669, I670, I671, I672, I673, I674, I675, I676, I677, I678, I679, I680, I681, I682, I688, I690, I69.4, Q282, G20X, G210, G211, G212, G213, G214, G218, G219, G22X o  procedimientos de CPMS.
</t>
  </si>
  <si>
    <t>Programan los EE.SS con UPSS-MR  o Unidad Funcional de Medicina Física y Rehabilitación.
Incrementar el 5% a la sumatoria de la Persona con discapacidad atendida identificada por única vez mediante DNI o carnet de extranjería, en el año anterior  con diagnósticos de deficiencias comprendidas en el grupo seleccionado de rehabilitación de la columna vertebral y otros trastornos posturales ( e Incluye 0515012 TRANSTORNOS POSTULARES ) , registrados en las UPSS-MR  con códigos CIE 10 listados a continuación : M400, M401, M402, M403, M404, M405, M410, M411, M412, M413, M414, M415, M418, M419, M420, M421, M429, M45X, M491, M492, M493, M494, M495, M498, G992, M501, M502, M503, M508, M509, M510, M512, M513, M514, M518, M519, M530, M531, M532, M533, M538, M539, M542, M545, M546, M548, M549, M430, M431, M432, Q24.1, Q670, Q715, Q716, Q718, Q719, Q743, Q770, Q774, M910, M911, M912, M913, M918, M919, M920, M921, M922, M923, M924, M925, M926, M927, M928, M929, M930, M931, M932, M938, M939, Q710, Q711, Q712, Q713, Q720, Q721, Q722, Q723, Q724, Q725, Q726, Q727, Q728, Q729, Q730, Q731, Q738, M960, M961, M962, M963, M964, M968, M969  o  procedimientos de CPMS.</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</si>
  <si>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Rehabilitación  de la columna vertebral y otros trastornos posturales , durante el año en ejercicio,  registradas con los códigos:  M400, M401, M402, M403, M404, M405, M410, M411, M412, M413, M414, M415, M418, M419, M420, M421, M429, M45X, M491, M492, M493, M494, M495, M498, G992, M501, M502, M503, M508, M509, M510, M512, M513, M514, M518, M519, M530, M531, M532, M533, M538, M539, M542, M545, M546, M548, M549, M430, M431, M432, Q24.1, Q670, Q715, Q716, Q718, Q719, Q743, Q770, Q774, M910, M911, M912, M913, M918, M919, M920, M921, M922, M923, M924, M925, M926, M927, M928, M929, M930, M931, M932, M938, M939, Q710, Q711, Q712, Q713, Q720, Q721, Q722, Q723, Q724, Q725, Q726, Q727, Q728, Q729, Q730, Q731, Q738, M960, M961, M962, M963, M964, M968, M969 o procedimientos registrados en el CPMS.
Fuente: HIS-MIS y/o HIS DIS.
Reporte mensual, semestral o anual según corresponda, del año en curso.</t>
  </si>
  <si>
    <t xml:space="preserve">Programan los EE.SS con UPSS-MR
.
Incrementar el 5% a la sumatoria de la Persona con discapacidad atendida identificada por única vez mediante DNI o carnet de extranjería, en el año anterior  con diagnósticos de deficiencias comprendidas en el grupo seleccionado de Rehabilitación Cardiovascular, registrados  en las UPSS-MR  con códigos CIE 10 listados a continuación :  I090, I091, I092, I098, I099, I200, I201, I208, I209, I210, I211, I212, I213, I214, I219, I260, I269, I270, I271, I272, I278, I279, I280, I281, I288, I289, I430, I431, I432, I438, I500, I501, I509, I520, I521, I528, I690, I691, I692, I693, I694, I730, I731, I738, I739, I99X, Q200, Q201, Q202, Q203, Q204, Q205, Q206, Q208, Q209, Z95.0, Z95.1, Z95.2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</si>
  <si>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Rehabilitación Cardiovascular, durante el año en ejercicio,  registradas con los códigos: I090, I091, I092, I098, I099, I200, I201, I208, I209, I210, I211, I212, I213, I214, I219, I260, I269, I270, I271, I272, I278, I279, I280, I281, I288, I289, I430, I431, I432, I438, I500, I501, I509, I520, I521, I528, I690, I691, I692, I693, I694, I730, I731, I738, I739, I99X, Q200, Q201, Q202, Q203, Q204, Q205, Q206, Q208, Q209, Z95.0, Z95.1, Z95.2 o procedimientos registrados en el CPMS.
Fuente: HIS-MIS y/o HIS DIS.
Reporte mensual, semestral o anual según corresponda, del año en curso.</t>
  </si>
  <si>
    <t xml:space="preserve">Programan los EE.SS con UPSS-MR o Unidad Funcional de Medicina de Rehabilitación.
Incrementar el 5% a la sumatoria de la Persona con discapacidad atendida identificada por única vez mediante DNI o carnet de extranjería, en el año anterior  con diagnósticos  de deficiencias comprendidas en el grupo seleccionado de  Rehabilitación Respiratoria, registrados en las UPSS-MR con códigos CIE 10 listados a continuación :  J180, J181, J182, J188, J189, J1891, J1892, J430, J431, J432, J438, J439, J440, J441, J448, J449, J47X, J680, J681, J682, J683, J684, J688, J689, J700, J701, J702, J703, J704, J708, J709, J990, J991, J998, J12.81, J12.89, J20.8, J22, J40X, J410, J411, J418, J42X, J450, J451, J458, J459, J4591, J46X, J80, J841, J848, J960, J961, J969, J981, J98.8 o  procedimientos de CPMS.
</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</si>
  <si>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Rehabilitación Respiratoria durante el año en ejercicio,  con códigos CIE 10 : J180, J181, J182, J188, J189, J1891, J1892, J430, J431, J432, J438, J439, J440, J441, J448, J449, J47X, J680, J681, J682, J683, J684, J688, J689, J700, J701, J702, J703, J704, J708, J709, J990, J991, J998, J12.81, J12.89, J20.8, J22, J40X, J410, J411, J418, J42X, J450, J451, J458, J459, J4591, J46X, J80, J841, J848, J960, J961, J969, J981, J98.8  además procedimientos registrados en el CPMS.
Fuente: HIS-MIS y/o HIS DIS.
Reporte mensual, semestral o anual según corresponda, del año en curso.</t>
  </si>
  <si>
    <t xml:space="preserve">Programan los EE.SS con UPSS-MR  o Unidad Funcional de Medicina Física y Rehabilitación ).
Incrementar el 5% a la sumatoria de la Persona con discapacidad atendida identificada por única vez mediante DNI o carnet de extranjería, en el año anterior  con diagnósticos  de deficiencias comprendidas en el grupo seleccionado de Rehabilitación del piso pélvico, registrados en las UPSS-MR con códigos CIE 10 listados a continuación :  N311, N312, N318, N319, N320, N941, N942, N948, R102, R309, N393, N394, R15X, R32X, N812, N814, N815, N816, N818, N819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</si>
  <si>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Rehabilitación del piso pélvico durante el año en ejercicio, con   códigos CIE 10 listados a continuación: N311, N312, N318, N319, N320, N941, N942, N948, R102, R309, N393, N394, R15X, R32X, N812, N814, N815, N816, N818, N819 además procedimientos registrados en el CPMS durante el año en la UPSS MR.
Fuente: HIS-MIS y/o HIS DIS.
Reporte mensual, semestral o anual según corresponda, del año en curso.</t>
  </si>
  <si>
    <t xml:space="preserve">Programan los EE.SS con UPSS-MR o Unidad Funcional de Medicina Física y Rehabilitación).
Incrementar el 5% a la sumatoria de la Persona con discapacidad atendida identificada por única vez mediante DNI o carnet de extranjería, en el año anterior  con diagnósticos  de deficiencias comprendidas en el grupo seleccionado de Rehabilitación traumatológica y reumatológica, registrados en las UPSS-MR  con códigos CIE 10: S000, S090, S091, S092, S097, S098, S099, S100, S101, S107, S108, S109, S197, S198, S199, S200, S201, S202, S203, S204, S207, S208, S290, S297, S298, S299, S300, S301, S302, S307, S308, S309, S390, S396, S397, S398, S399, S400, S407, S408, S409, S497, S498, S499, S500, S501, S507, S508, S509, S597, S598, S599, S600, S601, S602, S607, S608, S609, S697, S698, S699, S700, S701, S707, S708, S709, S797, S798, S799, S800, S801, S807, S808, S809, S897, S898, S899, S900, S901, S902, S903, S907, S908, S909, S997, S998, S999, T000, T001, T002, T003, T006, T008, T009, T07X, T08X, T140, T141, T142, T143, T144, T145, T146, T147, T148, T149, T900, T901, T902, T903, T904, T905, T908, T909, T910, T911, T912, T913, T914, T915, T918, T919, T920, T921, T922, T923, T924, T925, T926, T928, T929, T930, T931, T932, T933, T934, T935, T936, T938, T939, T940, T941, T950, T951, T952, T953, T954, T958, T959, T96X, T97X, T980, T981, T982, T983, M000, M001, M002, M008, M009, M300, M301, M302, M303, M308, M310, M311, M312, M313, M314, M315, M316, M317, M318, M319, M320, M321, M328, M329, M330, M331, M332, M339, M340, M341, M342, M348, M349, M350, M351, M352, M353, M354, M355, M356, M357, M358, M359, M360, M361, M362, M363, M364, M368, M600, M601, M602, M608, M609, M610, M611, M612, M613, M614, M615, M619, M620, M621, M622, M623, M624, M625, M626, M628, M629, M630, M631, M632, M633, M638, M650, M651, M652, M653, M654, M658, M659, M660, M661, M662, M663, M664, M665, M670, M671, M672, M673, M674, M678, M679, M680, M688, M800, M801, M802, M803, M804, M805, M808, M809, M850, M851, M852, M853, M854, M855, M856, M858, M859, M200, M201, M202, M203, M204, M205, M206, M210, M211, M212, M213, M214, M215, M216, M217, M218, M219, M220, M221, M222, M223, M228, M229, M230, M231, M232, M233, M234, M236, M240, M242, M243, M244, M245, M246, M247, M248, M249, M250, M251, M252, M253, M254, M256, M257, M258, M259, M75.9, A239, M490, M491, M860, M861, M862, M863, M864, M865, M866, M868, M869, M890, M891, M892, M893, M894, M895, M896, M898, M899, M998, M999 o  procedimientos de CPMS .
</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</si>
  <si>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Rehabilitación  traumatológica y reumatológica, durante el año en ejercicio,  con códigos CIE 10: S000, S090, S091, S092, S097, S098, S099, S100, S101, S107, S108, S109, S197, S198, S199, S200, S201, S202, S203, S204, S207, S208, S290, S297, S298, S299, S300, S301, S302, S307, S308, S309, S390, S396, S397, S398, S399, S400, S407, S408, S409, S497, S498, S499, S500, S501, S507, S508, S509, S597, S598, S599, S600, S601, S602, S607, S608, S609, S697, S698, S699, S700, S701, S707, S708, S709, S797, S798, S799, S800, S801, S807, S808, S809, S897, S898, S899, S900, S901, S902, S903, S907, S908, S909, S997, S998, S999, T000, T001, T002, T003, T006, T008, T009, T07X, T08X, T140, T141, T142, T143, T144, T145, T146, T147, T148, T149, T900, T901, T902, T903, T904, T905, T908, T909, T910, T911, T912, T913, T914, T915, T918, T919, T920, T921, T922, T923, T924, T925, T926, T928, T929, T930, T931, T932, T933, T934, T935, T936, T938, T939, T940, T941, T950, T951, T952, T953, T954, T958, T959, T96X, T97X, T980, T981, T982, T983, M000, M001, M002, M008, M009, M300, M301, M302, M303, M308, M310, M311, M312, M313, M314, M315, M316, M317, M318, M319, M320, M321, M328, M329, M330, M331, M332, M339, M340, M341, M342, M348, M349, M350, M351, M352, M353, M354, M355, M356, M357, M358, M359, M360, M361, M362, M363, M364, M368, M600, M601, M602, M608, M609, M610, M611, M612, M613, M614, M615, M619, M620, M621, M622, M623, M624, M625, M626, M628, M629, M630, M631, M632, M633, M638, M650, M651, M652, M653, M654, M658, M659, M660, M661, M662, M663, M664, M665, M670, M671, M672, M673, M674, M678, M679, M680, M688, M800, M801, M802, M803, M804, M805, M808, M809, M850, M851, M852, M853, M854, M855, M856, M858, M859, M200, M201, M202, M203, M204, M205, M206, M210, M211, M212, M213, M214, M215, M216, M217, M218, M219, M220, M221, M222, M223, M228, M229, M230, M231, M232, M233, M234, M236, M240, M242, M243, M244, M245, M246, M247, M248, M249, M250, M251, M252, M253, M254, M256, M257, M258, M259, M75.9, A239, M490, M491, M860, M861, M862, M863, M864, M865, M866, M868, M869, M890, M891, M892, M893, M894, M895, M896, M898, M899, M998, M999 o procedimientos registrados en el CPMS.
Fuente: HIS-MIS y/o HIS DIS.
Reporte mensual, semestral o anual según corresponda, del año en curso.</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</si>
  <si>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Rehabilitación Oncológica (Linfedema, Sarcopenia) durante el año en ejercicio,  registrados con códigos CIE 10: I890, I891, I898, I899, I972, I978, I979, M62.84 o procedimientos registrados en el CPMS.
Fuente: HIS-MIS y/o HIS DIS.
Reporte mensual, semestral o anual según corresponda, del año en curso.</t>
  </si>
  <si>
    <t xml:space="preserve">Programan los EE.SS con UPSS-MR
Incrementar el 5% a la sumatoria de la Persona con discapacidad atendida identificada por única vez mediante DNI o carnet de extranjería, en el año anterior  con diagnósticos de deficiencias comprendidas en el grupo seleccionado de  Rehabilitación Oncológica ( Linfedema, Sarcopenia) registrados en las UPSS-MR con códigos CIE 10 listados a continuación: I890, I891, I898, I899, I972, I978, I979, M62.84 o  procedimientos de CPMS </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</si>
  <si>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Rehabilitación Dolor  durante el año en ejercicio, registrados  con códigos CIE 10 listados a continuación : M255, M791, M797, R521, R522, R529 o procedimientos registrados en el CPMS durante el año en la UPSS MR o Unidad Funcional de Medicina Física y Rehabilitación. 
Fuente: HIS-MIS y/o HIS DIS.
Reporte mensual, semestral o anual según corresponda, del año en curso.</t>
  </si>
  <si>
    <t xml:space="preserve">Programan los EE.SS con UPSS-MR  o Unidad Funcional de Medicina Física y Rehabilitación 
Incrementar el 5% a la sumatoria de la Persona con discapacidad atendida identificada por única vez mediante DNI o carnet de extranjería en el año anterior con diagnósticos  de deficiencias comprendidas en el grupo seleccionado de Rehabilitación Dolor, registrados en las UPSS-MR  con códigos CIE 10 listados a continuación: M255, M791, M797, R521, R522, R529 o  procedimientos de CPMS 
</t>
  </si>
  <si>
    <t xml:space="preserve">Programan los EE.SS con UPSS-MR.
Incrementar el 5% a la sumatoria de la Persona con discapacidad atendida identificada por única vez mediante DNI o carnet de extranjería, en el año anterior  con diagnósticos de deficiencias comprendidas en el grupo seleccionado de Rehabilitación quemados (corrosiones, congelaciones), registrados en las UPSS-MR con códigos CIE 10 listados a continuación: T200, T201, T202, T203, T204, T205, T206, T207, T210, T220, T230, T240, T250, T260, T270, T280, T290, T300, T310, T311, T312, T313, T314, T315, T316, T317, T318, T319, T320, T321, T322, T323, T324, T325, T326, T327, T328, T329, T330, T331, T332, T333, T334, T335, T336, T337, T338, T339, T340, T341, T342, T343, T344, T345, T346, T347, T348, T349, T350, T351, T352, T353, T354, T355, T356, T357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</si>
  <si>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Rehabilitación quemados   durante el año en ejercicio,  registrados con códigos CIE 10 :  T200, T201, T202, T203, T204, T205, T206, T207, T210, T220, T230, T240, T250, T260, T270, T280, T290, T300, T310, T311, T312, T313, T314, T315, T316, T317, T318, T319, T320, T321, T322, T323, T324, T325, T326, T327, T328, T329, T330, T331, T332, T333, T334, T335, T336, T337, T338, T339, T340, T341, T342, T343, T344, T345, T346, T347, T348, T349, T350, T351, T352, T353, T354, T355, T356, T357 o procedimientos registrados en el CPMS.
Fuente: HIS-MIS y/o HIS DIS.
Reporte mensual, semestral o anual según corresponda, del año en curso.</t>
  </si>
  <si>
    <t xml:space="preserve">Programan los EE.SS con UPSS-MR.
Incrementar el 2% a la sumatoria de la Persona con discapacidad atendida identificada por única vez mediante DNI o carnet de extranjería, en el año anterior  con diagnósticos de deficiencias comprendidas en el grupo seleccionado de hipoacusia o sordera,  registrados en las UPSS-MR con códigos CIE 10 listados a continuación :  H900, H901, H902, H903, H904, H905, H906, H907, H908, H910, H911, H912, H918, H919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</si>
  <si>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hipoacusia o sordera  durante el año en ejercicio,  registrados con códigos CIE 10:  H900, H901, H902, H903, H904, H905, H906, H907, H908, H910, H911, H912, H918, H919 o procedimientos registrados en el CPMS.
Fuente: HIS-MIS y/o HIS DIS.
Reporte mensual, semestral o anual según corresponda, del año en curso.</t>
  </si>
  <si>
    <t>Sumatoria de Persona con discapacidad atendida,  en los servicios de salud de Medicina Fisica y Rehabilitación, identificada por única vez mediante DNI o carnet de extranjería,  que tenga registrado el valor [DIS o DIS y (LEV o MOD o SEV)] en el campo LAB, deficiencias comprendidas en el grupo seleccionado de Baja Visión o Ceguera,  durante el año en ejercicio,  registradas con los códigos CIE 10 : B940, H54, H540, H541, H542, H543, H544, H545, H546, H547, H549, R481, H53.2, H53.4 o procedimientos registrados en el CPMS. 
Fuente: HIS-MIS y/o HIS DIS.
Reporte mensual, semestral o anual según corresponda, del año en curso.</t>
  </si>
  <si>
    <t xml:space="preserve">Programan los EE.SS con UPSS-MR  o Unidad Funcional de Medicina Física y Rehabilitación ).
Incrementar el 2% a la sumatoria de la Persona con discapacidad atendida identificada por única vez mediante DNI o carnet de extranjería, en el año anterior  con diagnósticos de deficiencias comprendidas en el grupo seleccionado de Baja Visión o Ceguera, registrados en las UPSS-MR con códigos CIE 10 listados a continuación : B940, H54, H540, H541, H542, H543, H544, H545, H546, H547, H549, R481, H53.2, H53.4 o procedimientos de CPMS  </t>
  </si>
  <si>
    <t xml:space="preserve">Programan los EE.SS con UPSS-MR.
Incrementar el 2% a la sumatoria de la Persona con discapacidad atendida identificada por única vez mediante DNI o carnet de extranjería, en el año anterior  con diagnósticos de deficiencias comprendidas en el grupo seleccionado de Sordomudez,   registrados en el establecimiento de salud con códigos CIE 10: H91.3,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</si>
  <si>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deficiencias comprendidas en el grupo seleccionado de  Sordomudez, registrados con códigos CIE 10: H91.3; o procedimientos registrados en el CPMS durante el año  en la UPSS MR.
Fuente: HIS-MIS y/o HIS DIS.
Reporte mensual, semestral o anual según corresponda, del año en curso.</t>
  </si>
  <si>
    <t xml:space="preserve">Programan los EE.SS con UPSS-MR.
Incrementar el 2% a la sumatoria de la Persona con discapacidad atendida identificada por única vez mediante DNI o carnet de extranjería, en el año anterior  con diagnósticos  de deficiencias comprendidas en el grupo seleccionado de Enfermedad cerebro vascular,  relacionado solo al aspecto sensorial registrados en las UPSS-MR con códigos CIE 10: R470 (disfasia)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</si>
  <si>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Enfermedad cerebro vasculares, registrados con códigos CIE 10: R470 (Disfasia), o procedimientos registrados en el CPMS.
Fuente: HIS-MIS y/o HIS DIS.
Reporte mensual, semestral o anual según corresponda, del año en curso.</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</si>
  <si>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del trastornos específicos del desarrollo del habla y lenguaje durante el año en ejercicio,  registradas con los códigos cie 10 : F800, F801, F802, F803, F808, F809, P050, P073, P229, P92.3 o procedimientos registrados en el CPMS.  
Fuente: HIS-MIS y/o HIS DIS.
Reporte mensual, semestral o anual según corresponda, del año en curso.</t>
  </si>
  <si>
    <t xml:space="preserve">Programan los EE.SS con UPSS-MR  o Unidad Funcional de Medicina Física y Rehabilitación.
Incrementar el 2% a la sumatoria de la Persona con discapacidad atendida identificada por única vez mediante DNI o carnet de extranjería, en el año anterior  con diagnósticos de deficiencias comprendidas en el grupo seleccionado del Trastornos específicos del desarrollo del habla y lenguaje, registrados en el establecimiento de salud  con códigos CIE 10 listados a continuación:  F800, F801, F802, F803, F808, F809, P050, P073, P229, P92.3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</si>
  <si>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disartria o disfagia, durante el año en ejercicio, registradas con los códigos CIE 10: R471(Disartria), R478 ( Otras alteraciones del habla y las no específicas), P920, P921, P922, P923, P924, P925, P928, P929, R13X (Disfagia) o procedimientos registrados en el CPMS.
Fuente: HIS-MIS y/o HIS DIS.
Reporte mensual, semestral o anual según corresponda, del año en curso.</t>
  </si>
  <si>
    <t xml:space="preserve">Programan los EE.SS con UPSS-MR.
Incrementar el 2% a la sumatoria de la Persona con discapacidad atendida identificada por única vez mediante DNI o carnet de extranjería, en el año anterior  con diagnósticos de deficiencias comprendidas en el grupo seleccionado de Diisartria o Disfagia, registrados en las UPSS-MR con códigos CIE 10 listados a continuación: R471 (Disartria), R478 ( Otras alteraciones del habla y las no específicas), P920, P921, P922, P923, P924, P925, P928, P929, R13X (Disfagia)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</si>
  <si>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trastornos de aprendizaje durante el año en ejercicio, registradas con los códigos CIE 10 : F810, F811, F812, F813, F818, F819, F82, Z558 del año anterior. ; o procedimientos registrados en el CPMS.
Fuente: HIS-MIS y/o HIS DIS.
Reporte mensual, semestral o anual según corresponda, del año en curso.</t>
  </si>
  <si>
    <t xml:space="preserve">Programan los EE.SS con UPSS-MR o Unidad Funcional de Medicina Física y Rehabilitación.
Incrementar el 3% a la sumatoria de la Persona con discapacidad atendida identificada por única vez mediante DNI o carnet de extranjería, en el año anterior  con diagnósticos de deficiencias comprendidas en el grupo seleccionado de trastornos de aprendizaje, registrados en las UPSS-MR con códigos CIE 10 : F810, F811, F812, F813, F818, F819, F82, Z558 o  procedimientos de CPMS .
</t>
  </si>
  <si>
    <t>Sumatoria de Persona con discapacidad atendida,  en los servicios de salud de Medicina Fisica y Rehabilitación o Unidad Funcional de Medicina Física y Rehabilitación, identificada por única vez mediante DNI o carnet de extranjería,  que tenga registrado el valor [DIS o DIS y (LEV o MOD o SEV)] en el campo LAB, de deficiencias comprendidas en el grupo seleccionado de personas de  retardo mental: leve, moderada, severo, durante el año en ejercicio, registradas con los códigos CIE 10: F700, F701, F708, F709, F710, F711, F718, F719, F720, F721, F728, F729, F730, F731, F738, F739, F780, F781, F788, F789, F790, F791, F798, F799 o procedimientos registrados en el CPMS.
(*) En Hospital III-1 de Salud Mental  con UPSS MR.
Sumatoria de las personas atendidas identificadas con DNI con diagnósticos registrados como P, D o R de deficiencias comprendidas en el grupo seleccionado de retardo mental durante el año en ejercicio,  registradas con los códigos CIE 10 : F700, F701, F708, F709, F710, F711, F718, F719, F720, F721, F728, F729, F730, F731, F738, F739, F780, F781, F788, F789, F790, F791, F798, F799 o procedimientos registrados en el CPMS durante el año. 
(**) En Institutos de Salud Mental con UPSS MR.
Sumatoria de las personas atendidas identificadas con DNI con diagnósticos registrados como P, D o R de deficiencias comprendidas en el grupo seleccionado de personas con Retardo mental durante el año en ejercicio,  registradas con los códigos CIE 10: F700, F701, F708, F709, F710, F711, F718, F719, F720, F721, F728, F729, F730, F731, F738, F739, F780, F781, F788, F789, F790, F791, F798, F799 o procedimientos registrados en el CPMS durante el año. 
Fuente: HIS-MIS y/o HIS DIS.
Reporte mensual, semestral o anual según corresponda, del año en curso.</t>
  </si>
  <si>
    <t xml:space="preserve">Programan los EE.SS con UPSS-MR o Unidad Funcional de Medicina Física y Rehabilitación.
Incrementar el 3% a la sumatoria de la Persona con discapacidad atendida identificada por única vez mediante DNI o carnet de extranjería, en el año anterior  con diagnósticos de deficiencias comprendidas en el grupo seleccionado de  Retardo mental: leve, moderada, severo, registrados en las UPSS-MR  con códigos CIE 10: F700, F701, F708, F709, F710, F711, F718, F719, F720, F721, F728, F729, F730, F731, F738, F739, F780, F781, F788, F789, F790, F791, F798, F799 o  procedimientos de CPMS.
(*) A partir del nivel III-1 e (**) Institutos de Salud Mental con UPSS MR.
Programar el  100 %  de las personas atendidas mensualmente  como “no acumulado”  para el año correspondiente,   identificados con DNI, con diagnósticos de deficiencias comprendidas en el grupo seleccionado de retardo mental, registrados en las UPSS-MR con códigos CIE 10: F700, F701, F708, F709, F710, F711, F718, F719, F720, F721, F728, F729, F730, F731, F738, F739, F780, F781, F788, F789, F790, F791, F798, F799 o  procedimientos de CPMS  
</t>
  </si>
  <si>
    <t>Programan los EE.SS con UPSS-MR.
Incrementar el 3% a la sumatoria de la Persona con discapacidad atendida identificada por única vez mediante DNI o carnet de extranjería, en el año anterior  con diagnósticos de deficiencias comprendidas en el grupo seleccionado de trastornos del espectro autista, registrados en las UPSS-MR con códigos CIE 10 listados a continuación : F84.0, F84.1, F84.2, F84.3, F84.4, F84.5, F84.8, F84.9, F90, F900, F901, F908, F909, F91, F910, F911, F912, F9121, F9122, F913, F918, F919 o  procedimientos de CPMS.</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</si>
  <si>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trastornos del espectro autista, durante el año en ejercicio,  registradas con los códigos CIE 10: F84.0, F84.1, F84.2, F84.3, F84.4, F84.5, F84.8, F84.9, F90, F900, F901, F908, F909, F91, F910, F911, F912, F9121, F9122, F913, F918, F919 o  procedimientos registrados en el CPMS.
Fuente: HIS-MIS y/o HIS DIS.
Reporte mensual, semestral o anual según corresponda, del año en curso.</t>
  </si>
  <si>
    <t xml:space="preserve">Programan los EE.SS con UPSS-MR.
Incrementar el 3% a la sumatoria de la Persona con discapacidad atendida identificada por única vez mediante DNI o carnet de extranjería, en el año anterior  con diagnósticos  de deficiencias comprendidas en el grupo seleccionado de  otros Trastornos de salud mental, registrados en las UPSS-MR con CIE 10:  F010, F011, F012, F013, F018, F019, F028, F03X, F06, F20, F31, G300, G301, G308, G309, G311, G319 o  procedimientos de CPMS 
(*) A partir del nivel III-1 e (**) Institutos de Salud Mental con UPSS MR.
Programar el  100 %  de las personas atendidas mensualmente  como “no acumulado”  para el año correspondiente,   identificados con DNI, con diagnósticos de deficiencias comprendidas en el grupo seleccionado de atención médica de Rehabilitación  con Otros Trastornos de salud mental, registrados en las UPSS-MR con códigos CIE 10: F010, F011, F012, F013, F018, F019, F028, F03X, F06, F20, F31, G300, G301, G308, G309, G311, G319 o  procedimientos de CPMS  </t>
  </si>
  <si>
    <t>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Otros Trastornos de Salud Mental durante el año en ejercicio,  registradas con los códigos CIE 10: F010, F011, F012, F013, F018, F019, F028, F03X, F06, F20, F31, G300, G301, G308, G309, G311, G319 o procedimientos registrados en el CPMS. 
(*) En Hospital III-1 de Salud Mental con UPSS MR.
Sumatoria de las personas atendidas identificadas con DNI con diagnósticos registrados como P, D o R de deficiencias comprendidas en el grupo seleccionado de Otros Trastornos de salud mental durante el año en ejercicio,  registradas con los códigos: F010, F011, F012, F013, F018, F019, F028, F03X, F06, F20, F31, G300, G301, G308, G309, G311, G319 o procedimientos registrados en el CPMS durante el año. 
(**) En Institutos de Salud Mental con UPSS MR.
Sumatoria de las personas atendidas identificadas con DNI con diagnósticos registrados como P, D o R de deficiencias comprendidas en el grupo seleccionado de Otros Trastornos de salud mental durante el año en ejercicio,  registradas con los códigos: F010, F011, F012, F013, F018, F019, F028, F03X, F06, F20, F31, G300, G301, G308, G309, G311, G319 o procedimientos registrados en el CPMS durante el año. 
Fuente: HIS-MIS y/o HIS DIS.
Reporte mensual, semestral o anual según corresponda, del año en curso.</t>
  </si>
  <si>
    <t>Incrementar el 2% adicional del número de personas con discapacidad certificadas en el año anterior en cada establecimiento certificador y el Promedio de los Certificados Médicos de incapacidad emitidos por la CMCI de los últimos tres años</t>
  </si>
  <si>
    <t>087 PERSONA CON DISCAPACIDAD CERTIFICADA</t>
  </si>
  <si>
    <t>Incrementar el 3%, adicional al número de personas con discapacidad certificadas en el año anterior, a nivel regional.</t>
  </si>
  <si>
    <t>La meta física del producto es igual a la sumatoria de personas con discapacidad certificadas en el año anterior + el 3% adicional.</t>
  </si>
  <si>
    <t>La persona con discapacidad certificada, es la persona que acredita la condición de discapacidad a través del certificado de discapacidad, conforme al artículo 76 de la Ley N° 29973, Ley General de la Persona con discapacidad, y se realiza de acuerdo a la Norma Técnica N° 127 -MINSA/2016/DGIESP: Norma Técnica de Salud para la Evaluación, Calificación y Certificación de la Persona con Discapacidad y sus modificatorias. El certificado de discapacidad, será expedido por el EESS que cuente con médico certificador en las tres modalidades de oferta: fija, móvil y telemedicina, de acuerdo al marco legal vigente.</t>
  </si>
  <si>
    <t xml:space="preserve">Programan los EE.SS que cuenten con médico certificador temporal o permanente, o servicio de telemedicina, o brigada itinerante calificadora de la discapacidad (BICAD) según norma.
Incrementar el 3% adicional al número de personas con discapacidad certificadas en el año anterior en cada establecimiento que cuente con médico certificador. Los EESS que no cuentan con médico certificador pero cuentan con servicio de telemedicina o solicitan la BICAD, inician con una programacion mínima de acuerdo a su demanda. </t>
  </si>
  <si>
    <t xml:space="preserve">
Total de personas con discapacidad certificadas que se encuentran registradas en el Módulo de Discapacidad del SIHCE. 
Código CPMS del HIS MINSA: 99450.01      
Fuente:  Módulo de Discapacidad del SIHCE del Ministerio de Salud
</t>
  </si>
  <si>
    <t>056</t>
  </si>
  <si>
    <t xml:space="preserve">El número de personas a programar se estima de acuerdo al siguiente estándar:
Considerar a todas las personas con discapacidad , en particular a quienes presentan discapacidad severa certificada en un establecimiento de salud.
Se considera que las visitas se realizarán hasta cumplir con el Plan de Cuidado Integral de Salud( incluye  reahabilitacion basica a laPcD , durante los 90 días calendario de iniciada la primera     vista , en el marco de RBC                                                                                                                        </t>
  </si>
  <si>
    <t xml:space="preserve">La meta física del producto  es el numero de personas con discapcidad que han recibido la tercera visita (5005924) </t>
  </si>
  <si>
    <t xml:space="preserve">Proceso de aprendizaje que busca mejorar las habilidades y conocimientos de los representantes de la comunidad para potenciar de manera conjunta y articulada cambios sociales orientados a mejorar la calidad de vida de la población con discapacidad.
La capacitación está dirigida a las familias, cuidadores, grupos de pares,  autoridades locales, representantes de instituciones, organizaciones de la comunidad y representantes de Organizaciones de personas con discapacidad (OPD) u otros.                                                   
La capacitación se realiza a traves de talleres, sesiones educativas y/o sesiones demostrativas orientado a:
• Gobiernos Locales: Articulación de actividades entre la Oficina Municipal de Atención a la Persona con Discapacidad (OMAPED) con el sector salud.
• Gobiernos Regionales: Articulación de actividades entre la Oficina Regional de Atención a las Personas con Discapacidad (OREDIS) con el coordinador regional DSCAP.
• Dirección Regional de Educación: Articulación de actividades en favor de los niños y jóvenes con discapacidad en Instituciones de educación especial e inclusiva en DIRIS, DIRESA , GERESA y ejecutoras. 
• Dirigentes Vecinales/organizaciones sociales de base: Identificación de las personas con discapacidad, sus necesidades individuales y colectivas. Abordaje para la inserción al sistema de salud.
La capacitación es realizada por  médicos especialistas en Medicina Física y Rehabilitación, otros médicos especialistas, médicos generales capacitados, tecnólogos médicos en medicina física y rehabilitación o otros, así como otros profesionales de la salud capacitados, para abordar los siguientes temas:
TEMAS CAPACITACITACIÓN 1:
Tema 1: Identificación de la persona con discapacidad y su reporte al Establecimiento de Salud
Tema 2: Derechos en salud para las personas con discapacidad en igualdad de oportunidades
Tema 3: Conociendo e identificando barreras para las persona con discapacidad como factores de riesgo
TEMAS CAPACITACITACIÓN 2:
Tema 4: Formación de cuidadores con plan de cuidado y autocuidado a la persona con discapacidad
Tema 5 : Formación de cuidadores con plan de proyecto de vida para el cuidador. 
Tema 6: Implementación de la Red de Cuidado socio comunitario para PCD.
La  implementación de la Capacitación a Actores Sociales para la Aplicación de la Estrategia de Rehabilitación Basada en la Comunidad considera el empleo de la Tecnología de la Información y comunicación (TIC). </t>
  </si>
  <si>
    <t xml:space="preserve">
ACTORES SOCIALES / RELACIÓN DE ORGANIZACIONES:
CONADIS / OREDIS, OMAPED, MINEDU (docentes , Padres de familia), organizaciones de personas con discapacidad (PCD) , cuidadores,  familias que cuenten con integrantes con discapacidad</t>
  </si>
  <si>
    <t xml:space="preserve">Actividad de capacitación dirigida al Agente Comunitario de Salud para la asimilación de contenidos relacionados a la temática de la discapacidad orientado al cuidado  integral en salud, derechos de las Personas con discapacidad (PCD)  y sus familias; con la finalidad de  generar autonomía con el logro de una plena inclusión y desarrollo. Asimismo, coordinar con el equipo multidisciplinario del establecimiento de salud,  para el desarrollo de las actividades en el marco de  Rehabilitación Basada en la Comunidad(RBC).                                                        
 La capacitación se realiza en 2 sesiones  o talleres orientado a Agentes Comunitarios en RBC, considera la posibilidad del empleo de la Tecnología de la Información y comunicación (TIC).   
TEMAS CAPACITACITACIÓN 1:
• Discapacidad y rol del agente comunitario de salud 
• Fortalecimiento de capacidades en  comunicación hacia las personas con discapacidad
• Identificación de la Persona con Discapacidad y su reporte al Establecimiento de Salud
TEMAS CAPACITACITACIÓN 2:
• Derechos en salud para las personas con discapacidad en igualdad de oportunidades(aporte en la red de apoyo sociocomunitario)
• Factores de Riesgo y mejoras en la accesibilidad para las Persona con Discapacidad
• Importancia de la atención preventiva, recuperativa y rehabilitadora para las personas con discapacidad
La  capacitación lo  realizan  médicos especialistas en Medicina Física y Rehabilitación, otros médicos especialistas, médicos generales capacitados, tecnólogos médicos en medicina física y rehabilitación, así como otros profesionales de la salud capacitados  en atención integral para PCD considerando el enfoque intercultural  y por curso de vida.
</t>
  </si>
  <si>
    <t xml:space="preserve">
Para determinar el número de agentes comunitarios a capacitar se deberá considerar  programar como mínimo el 50 % del total de agentes comunitarios de la jurisdicción para lo cual se trabaja de manera articulada con Promoción de la Salud y con los gobiernos locales para capacitar a los  agentes comunitarios a su cargo.
Se considera al menos  02 Capacitaciones anuales   en la temática de discapacidad priorizadas a nivel local o regional. 
Las capacitaciones serán a traves de Talleres, sesiones educitivas y/o sesiones demostrativas.</t>
  </si>
  <si>
    <t xml:space="preserve">Actividad fuera del establecimiento de salud, realizada por el personal de salud capacitado del primer nivel de atención y II-1  con población asignada;  para realizar  la oferta del Plan de Cuidado Integral de Salud (preventiva, promocional, recuperativa, rehabilitación, identificación de requerimiento de producto de apoyo). 
De ser posible se considera la participación de la comunidad para el logro de los objetivos (coordinación con actores sociales entre otros como parte de la red de soporte para las PCD). Está orientada a toda familia que cuenta con una persona con discapacidad ,en particular a quienes tienen discapacidad severa.
Primera Visita:    Identificar las condiciones de salud (Uso ficha de verificación de necesidades de salud de la PCD)
                                      Grado de dependencia, barreras, elementos facilitadores.
                                      Cartilla de sesión educativa: Derecho de las PcD
                                      Cartilla de sesión demostrativa: vivienda accesible 
Segunda Visita:   Plan de acción (preventivo, promocional, recuperativo y rehabilitación)
                                      Formato de Plan de acción desde el entorno más cercano
Tercera Visita:    Monitoreo de Indicadores de cumplimiento 
                                     Formato de monitoreo de indicadores
</t>
  </si>
  <si>
    <t xml:space="preserve">Criterio de cumplimiento: Familias de Personas con discapacidad certificada,  en particular PCD severa y  que han concluido con  la  3era visita familiar a cargo del equipo multidisciplinario de salud, para el cumpliendo del Plan de Cuidado Integral de Salud y atención basica de rehabilitacion  en el marco de RBC.
Criterio de avance: Se considera que las visitas se realizarán hasta cumplir con el Plan de Cuidado Integral de Salud , atención básica de reabilitación y soporte social en el marco de RBC dentro de los 03 meses de iniciada la visita familiar Lo que conlleva a una (01) visita programada cada 15 días por familia.
Cada visita se registra en el HIS, según su número de intervención (Visita N° 1, 2 hasta concluir con la visita N°3)  dentro de los 90 días calendario de haber iniciado la primera visita familiar integral ) y para su identificación registrar en LAB la palabra "DIS", asimismo registrar el grado de severidad de la PCD visitada.
Fuentes: 
* HISMINSA 
* MÓDULO DE DISCAPACIDAD DEL SIHCE - MINSA. 
Reporte ANUAL  a nivel nacional 
Reporte mensual  a nivel de DIRIS y regiones.
</t>
  </si>
  <si>
    <t xml:space="preserve">Sumatoria de Persona con discapacidad atendida,  en los servicios de salud de Medicina Fisica y Rehabilitación, identificada por única vez mediante DNI o carnet de extranjería,  que tenga registrado el valor [DIS o DIS y (LEV o MOD o SEV)] en el campo LAB, de deficiencias comprendidas en el grupo seleccionado de Lesiones Medulares durante el año en ejercicio, registradas con los códigos CIE 10 :  A178, A1782, A800, B690, B91X, B941, C720, C721, D334, G041, G042, G048, G049, G050, G051, G052, G058, G114, G320, G35X, G360, G373, G820, G821, G822, G823, G824, G825, G834, G950, G951, G952, G958, G959, G971, M471, M480, M500, Q050, Q051, Q052, Q053, Q054, Q055, Q056, Q057, Q058, Q059, Q060, Q061, Q062, Q063, Q064, Q068, Q069, S140, S141, S240, S241, S340, S341, T88.9, T093 o  procedimientos registrados en el CPMS. 
- Fuente: * HIS-MIS y/o HIS DIS. 
              * Reporte mensual, semestral o anual según corresponda, del año en curso.
</t>
  </si>
  <si>
    <t>SISTEMA DE INFORMACION: 
NUMERADOR:
 HISMINSA: visita familiar integral (En lab se registra 1, 2 y 3ra visita) Con la 3ra visita es el cumplimiento de la actividad.que se realiza dentro de los 90 días calendario de haber iniciado la primera visita familiar integral.
DENOMINADOR
MÓDULO DE DISCAPACIDAD DEL SIHCE (sistema de registro de PCD Certificada) – Ministerio de Salud:  familias de PCD certificadas</t>
  </si>
  <si>
    <t>Total de agentes comunitarios capacitados que serán registrados en el HIS  (APP ) como Actividad de Prevención  y Control de la Discapacidad  y para la identificación de persona capacitada sobre la temática de discapacidad registrar en lab "DIS"
Fuente: HIS-MINSA. Reporte  mensual del año en curso.
Cumplimiento: Se cumpla con la segunda capacitación (Lab 1), con el registro de N° de agentes comunitarios capacitados (N° de agentes capacitados en Lab 2)</t>
  </si>
  <si>
    <t xml:space="preserve">Actores sociales  capacitados ,que serán registrados en el HIS (APP)  como Actividad de Prevención  y Control de la Discapacidad y para su identificación como actividad en la temática de la discapacidad registrar en lab la palabra "DIS"
Criterio de cumplimiento: Registro de N° de actores sociales capacitados (Lab 2) que han recibido la 2da capacitación (Lab 1) (realizada a traves de  talleres, sesiones educativas y/o sesiones demostrativas)
Fuente de registro de información : HIS-MINSA. Reporte mensual del año en curso.
</t>
  </si>
  <si>
    <t xml:space="preserve">Solo programan: MINSA, DIRESA, GERESA, DIRIS y REDES 
Se programará 04 informes al año:
Dos (02) informes de evaluación y control (1 al 1er semestre que incluyen los informes de evaluacion  realizados durante el semestre  y 1 anual)
Dos (02) informes de monitoreo y supervisión (1 al 1er semestre que incluyen los informes de Monitoreo y/o Supervisiom  y 1 anual)
</t>
  </si>
  <si>
    <t>Informes de las acciones de control y evaluación realizadas en el periodo en curso, remitidos a la autoridad correspondiente a nivel de las unidades ejecutoras.
Los informes de evaluación deben contener como mínimo, los resultados de la evaluación de indicadores de desempeño (finales, intermedios, inmediatos y de producción física) y ejecución presupuestal, así como el correspondiente análisis, conclusiones y recomendaciones.
Los informes de  supervision y Monitoreo deben contener además de las acciones realizadas, los hallazgos, las acciones de mejora realizadas, sus resultados y seguimiento de las mismas.
Fuente: Base de datos de tramite documentario, registro de expedientes en las unidades ejecutoras correspondiente al año en curso.</t>
  </si>
  <si>
    <t>Actividades de fortalecimiento de competencias comprenden cursos, talleres, seminarios, etc., y otras acciones de capacitación, desarrolladas bajo las modalidades: presencial, virtual (sincrónica y asincrónica). Tendrá una duración mínima de: veinte cuatro (24) horas académicas por semestre y cuarenta y ocho (48) horas académicas al año.  
Las actividades serán ejecutadas por profesionales que cuenten con competencias técnicas y experiencia acreditada en las temáticas a desarrollar.
Las acciones de capacitación se encuentran alineadas a los Productos y Actividades del Programa Presupuestal, comprendiendo:
a) Manejo de las principales condiciones de discapacidad y sus condiciones secundarias.
b) Aplicación de las normas técnicas para la certificación de discapacidad.
c) Provisión y uso de ayudas técnicas.
d) Registro, codificación, referencia a establecimiento de mayor nivel de complejidad.
e) Otros no consignado anteriormente.
 Las actividades están dirigidas al personal de salud: asistencial y administrativo, que desempeña funciones vinculadas a la medicina de rehabilitación, con la finalidad de fortalecer las capacidades técnicas del personal y mejorar la calidad de las intervenciones en el abordaje integral de los problemas de atención de las personas con discapacidad.
 La ejecución de dichas actividades se realizará en: Institutos, Hospitales y  Establecimientos de salud (EESS) del primer nivel de atención que cuenten con recurso humano responsable de la provisión de servicios y/o atenciones de rehabilitación</t>
  </si>
  <si>
    <t>PERSONA ATENDIDA.
Consiste en la atención de evaluación especializada a la persona con diagnósticos de deficiencias comprendidas en el grupo seleccionado de Lesiones Medulares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Lesiones Medulares, Incluye: la atención médica y/o procedimientos médicos, terapia física,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De ser necesario, se brindará la orientación a sus familiares o cuidadores y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</si>
  <si>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Trastorno del desarrollo de la función motriz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Trastorno del desarrollo de la función motriz.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</si>
  <si>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Enfermedad articular degenerativa,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Enfermedad articular degenerativa.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debidamente registrada en HIS MINSA.</t>
  </si>
  <si>
    <t xml:space="preserve">PERSONA ATENDIDA.
Consiste en la atención de evaluación especializada a la persona con diagnósticos de deficiencias comprendidas en el grupo seleccionado de encefalopatía infantil, parálisis cerebral infantil (sólo CIE 10 G801),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encefalopatía infantil, parálisis cerebral infantil (sólo CIE 10 G801).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debidamente registrada en HIS MINSA.
</t>
  </si>
  <si>
    <t>PERSONA ATENDIDA.
Consiste en la atención de evaluación especializada a la persona con diagnósticos de deficiencias comprendidas en el grupo seleccionado de Síndrome de Down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Síndrome de Down.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</si>
  <si>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personas amputados (miembro inferior y miembro superior)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personas amputados (miembro inferior y miembro superior). Incluye: la atención médica y/o procedimientos médicos, terapia física,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De ser necesario, se brindará la orientación a sus familiares o cuidadores y la provisión de ayudas técnicas, según corresponda (Anexo N°1). 
Las atenciones serán consideradas para efecto de producción del EESS con UPSS MR debidamente registrada en HIS MINSA.</t>
  </si>
  <si>
    <t xml:space="preserve">PERSONA ATENDIDA.
Consiste en la atención de evaluación especializada a la persona con diagnósticos de deficiencias comprendidas en el grupo seleccionado de patología neurológica (Enfermedad muscular y unión mioneural, Lesiones del nervio periférico, Enfermedad cerebro vascular, y Enfermedad de Parkinson),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patología neurológica (Enfermedad muscular y unión mioneural, Lesiones del nervio periférico, Enfermedad cerebro vascular, y Enfermedad de Parkinson),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o Unidad Funcional de Medicina Física y Rehabilitación, debidamente registrada en HIS MINSA.
</t>
  </si>
  <si>
    <t>PERSONA ATENDIDA.
Consiste en la atención de evaluación especializada a la persona con diagnósticos de deficiencias comprendidas en el grupo seleccionado de Rehabilitación en patología de la columna vertebral y otros trastornos posturales (e incluye trastornos postulares)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en patología de la columna vertebral y otros trastornos posturales (e incluye trastornos postulares).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o Unidad Funcional de Medicina Física y Rehabilitación, debidamente registrada en HIS MINSA.</t>
  </si>
  <si>
    <t>PERSONA ATENDIDA.
Consiste en la atención de evaluación especializada a la persona con diagnósticos de deficiencias comprendidas en el grupo seleccionado de Rehabilitación Cardiovascular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Cardiovascular. Incluye: la atención médica y/o procedimientos médicos, terapia física,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</si>
  <si>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Rehabilitación Respiratoria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Respiratoria. Incluye: la atención médica y/o procedimientos médicos, terapia física,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</si>
  <si>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Rehabilitación en alteraciones del piso pélvico,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en alteraciones del piso pélvico. Incluye: la atención médica y/o procedimientos médicos, terapia física,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</si>
  <si>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Rehabilitación en patología traumatológica y reumatológica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en patología traumatológica y reumatológica.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o Unidad Funcional de Medicina Física y Rehabilitación, debidamente registrada en HIS MINSA.</t>
  </si>
  <si>
    <t xml:space="preserve">PERSONA ATENDIDA.
Consiste en la atención de evaluación especializada a la persona con diagnósticos de deficiencias comprendidas en el grupo seleccionado de Rehabilitación Oncológica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Oncológica. Incluye: la atención médica y/o procedimientos médicos, terapia física,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
</t>
  </si>
  <si>
    <t xml:space="preserve">PERSONA ATENDIDA.
Consiste en la atención de evaluación especializada a la persona con diagnósticos de deficiencias comprendidas en el grupo seleccionado de Rehabilitación en Dolor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en Dolor. Incluye: la atención médica y/o procedimientos médicos, terapia física,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o Unidad Funcional de Medicina Física y Rehabilitación, debidamente registrada en HIS MINSA.
</t>
  </si>
  <si>
    <t xml:space="preserve">PERSONA ATENDIDA.
Consiste en la atención de evaluación especializada a la persona con diagnósticos de deficiencias comprendidas en el grupo seleccionado de Rehabilitación Quemados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Quemados. Incluye: la atención médica y/o procedimientos médicos, terapia física,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 </t>
  </si>
  <si>
    <t>PERSONA ATENDIDA.
Consiste en la atención de evaluación especializada a la persona con diagnósticos de deficiencias comprendidas en el grupo seleccionado de Rehabilitación de Hipoacusia o Sordera,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de Hipoacusia o Sordera. Incluye: la atención médica y/o procedimientos médicos, terapia lenguaje,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de lenguaje,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</si>
  <si>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Rehabilitación Baja Visión o Ceguera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Baja Visión o Ceguera. Incluye: la atención médica y/o procedimientos médicos, terapia física, terapia de lenguaje,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lenguaje,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o Unidad Funcional de Medicina Física y Rehabilitación, debidamente registrada en HIS MINSA.</t>
  </si>
  <si>
    <t>PERSONA ATENDIDA.
Consiste en la atención de evaluación especializada a la persona con diagnósticos de deficiencias comprendidas en el grupo seleccionado de Rehabilitación de Sordomudez,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de Sordomudez. Incluye: la atención médica y/o procedimientos médicos, terapia lenguaje,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</si>
  <si>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Rehabilitación de Enfermedad cerebro Vascular (CIE 10: R470 disfasia),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de Enfermedad cerebro Vascular (CIE 10: R470 disfasia), Incluye: la atención médica y/o procedimientos médicos, terapia lenguaje,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Lenguaje,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</si>
  <si>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Rehabilitación Trastornos específicos del desarrollo del habla y lenguaje, incluye Parálisis cerebral infantil (sólo CIE -10 R481)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Trastornos específicos del desarrollo del habla y lenguaje, incluye Parálisis cerebral infantil (sólo CIE -10 R481). Incluye: la atención médica y/o procedimientos médicos, terapia de lenguaje,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lenguaje,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o Unidad Funcional de Medicina Física y Rehabilitación, debidamente registrada en HIS MINSA.</t>
  </si>
  <si>
    <t xml:space="preserve">PERSONA ATENDIDA.
Consiste en la atención de evaluación especializada a la persona con diagnósticos de deficiencias comprendidas en el grupo seleccionado de Rehabilitación de Disartria o Disfagia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De ser necesario, se brindará la orientación a sus familiares o cuidadores y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de Disartria o Disfagia, Incluye: la atención médica y/o procedimientos médicos, terapia de lenguaje, terapia ocupacional, terapia psicológica y otras relacionadas, según necesidad de las personas con estas deficiencias y el nivel de complejidad de la UPSS MR o Unidad Funcional de Medicina Física y Rehabilitación,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lenguaje,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De ser necesario, se brindará la orientación a sus familiares o cuidadores y la provisión de ayudas técnicas según corresponda (Anexo N°1).
Las atenciones serán consideradas para efecto de producción del EESS con UPSS MR o Unidad Funcional de Medicina Física y Rehabilitación, debidamente registrada en HIS MINSA.
</t>
  </si>
  <si>
    <t>PERSONA ATENDIDA.
Consiste en la atención de evaluación especializada a la persona con diagnósticos de deficiencias comprendidas en el grupo seleccionado de Rehabilitación de Trastorno de aprendizaje,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de Trastorno de Aprendizaje. Incluye: la atención médica y/o procedimientos médicos, terapia de aprendizaje, terapia de lenguaje,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lenguaje,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t>
  </si>
  <si>
    <t>PERSONA ATENDIDA.
Consiste en la atención de evaluación especializada a la persona con diagnósticos de deficiencias comprendidas en el grupo seleccionado de Rehabilitación de Retardo Mental: Leve, Moderado y Severo,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Medicina Física y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o Unidad Funcional de Medicina Física y Rehabilitación sólo considerará persona atendida debidamente registrada en HIS MINSA.
ATENCIONES.
Se considera como atenciones al conjunto de acciones otorgado a la persona con diagnósticos de deficiencias comprendidas en el grupo seleccionado de Rehabilitación de Retardo Mental: Leve, Moderado y Severo, Incluye: la atención médica y/o procedimientos médicos, terapia lenguaje, terapia ocupacional, terapia física,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o Unidad Funcional de Medicina Física y Rehabilitación debidamente registrada en HIS MINSA. debidamente registrada en HIS MINSA.</t>
  </si>
  <si>
    <t xml:space="preserve">PERSONA ATENDIDA.
Consiste en la atención de evaluación especializada a la persona con diagnósticos de deficiencias comprendidas en el grupo seleccionado de Rehabilitación de Trastorno del espectro autista, que acuden en forma ambulatoria o se encuentran hospitalizados, con el objetivo de determinar la capacidad funcional física y establecer un plan de intervención de acuerdo a la norma vigente.
El servicio se entrega en establecimiento de salud (EE SS) con UPSS-MR o Unidad Funcional de Medicina Física y Rehabilitación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o Unidad Funcional de Medicina Física y Rehabilitación sólo considerará persona atendida debidamente registrada en HIS MINSA.
ATENCIONES.
Se considera como atenciones al conjunto de acciones otorgado a la persona con diagnósticos de deficiencias comprendidas en el grupo seleccionado de Rehabilitación de Trastorno del espectro autista, Incluye: la atención médica y/o procedimientos médicos, terapia lenguaje, terapia ocupacional, terapia física,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física,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o Unidad Funcional de Medicina Física y Rehabilitación mediante: oferta fija, Oferta móvil o Telesalud. Se brindará la orientación a sus familiares o cuidadores y de ser necesario la provisión de ayudas técnicas, según corresponda (Anexo N°1). 
Las atenciones serán consideradas para efecto de producción del EESS con UPSS MR o Unidad Funcional de Medicina Física y Rehabilitación debidamente registrada en HIS MINSA. debidamente registrada en HIS MINSA.
</t>
  </si>
  <si>
    <t xml:space="preserve">PERSONA ATENDIDA.
Consiste en la atención de evaluación especializada a la persona con diagnósticos de deficiencias comprendidas en el grupo seleccionado de Rehabilitación de Otros trastornos de salud mental, que acuden en forma ambulatoria o se encuentran hospitalizados, con el objetivo de determinar la capacidad funcional física y establecer un plan de intervención de acuerdo a la norma vigente.
El servicio se entrega en establecimiento de salud (EE SS) con UPSS-MR por médicos especializados en medicina física y rehabilitación y/o especialidades afines, según Norma Técnica de Salud de la Unidad Productora de Servicios de Medicina Física y Rehabilitación (NTS N°079-MINSA/DGSP-INR.V.01), mediante: oferta fija, Oferta móvil o Telesalud. Se brindará la orientación a sus familiares o cuidadores y de ser necesario la provisión de ayudas técnicas.
Para efecto de programación y avance o cumplimiento de la meta física del PP 0129, el EESS con UPSS MR sólo considerará persona atendida debidamente registrada en HIS MINSA.
ATENCIONES.
Se considera como atenciones al conjunto de acciones otorgado a la persona con diagnósticos de deficiencias comprendidas en el grupo seleccionado de Rehabilitación de Otros trastornos de salud mental. Incluye: la atención médica y/o procedimientos médicos, terapia de aprendizaje, terapia de lenguaje, terapia ocupacional, terapia psicológica y otras relacionadas, según necesidad de las personas con estas deficiencias y el nivel de complejidad de la UPSS MR, con el Objetivo de restablecer o mejorar la capacidad funcional física para permitirle a la persona llevar una existencia autónoma y dinámica.  
Es realizado por Profesionales de la salud: médicos especializados en medicina física y rehabilitación y/o especialidades afines, Licenciado (a) en tecnología médica en terapia lenguaje, Licenciado (a) en tecnología médica en terapia ocupacional, Licenciado (a) en psicología, Licenciado (a) en trabajo social.  Licenciado (a) en enfermería capacitada en rehabilitación con un mínimo de 48 horas académicas anual. Todo ello conforme a la Norma Técnica de Salud de la Unidad Productora de Servicios de Medicina Física y Rehabilitación (NTS N°079-MINSA/DGSP-INR.V.01).
El servicio se entrega en EE SS con UPSS-MR mediante: oferta fija, Oferta móvil o Telesalud. Se brindará la orientación a sus familiares o cuidadores y de ser necesario la provisión de ayudas técnicas, según corresponda (Anexo N°1). 
Las atenciones serán consideradas para efecto de producción del EESS con UPSS MR debidamente registrada en HIS MINSA.
.
</t>
  </si>
  <si>
    <t>Actividad de control gerencial, que implica un proceso sistemático de recolección, análisis y utilización de información para hacer seguimiento al progreso del programa presupuestal, en el logro de sus resultados para guiar las decisiones de gestión. 
 La actividad consiste en elaborar informes por cada una de las siguientes acciones a realizar:
• Supervisión
• Monitoreo 
• Evaluación
Para lo cual se deberá tener en cuenta lo siguiente:
Supervisión: Es un proceso de interacción personal individual o grupal, basado en la enseñanza y aprendizaje entre supervisor(es) y supervisado(s) con el propósito de generar, transferir o fortalecer capacidades mutuas, orientadas a mejorar el desempeño del personal, verificar la calidad de los procesos de gestión, organización y prestación a nivel nacional y regional.
Monitoreo: Es una actividad de control gerencial, que implica un proceso sistemático de recolección, análisis y utilización de información para hacer seguimiento al progreso del programa presupuestal en la consecución de sus resultados para guiar las decisiones de gestión. 
Evaluación: Proceso que tiene como finalidad determinar el grado de eficacia, efectividad y eficiencia del Programa Presupuestal en relación con sus objetivos y los recursos destinados para alcanzarlos; mediante el análisis de su ejecución, resultados e impacto con criterios rigurosos, que permitan determinar las desviaciones y la adopción de medidas correctivas que garanticen el cumplimiento de las metas programadas y alcanzar los cambios en la población objetivo.
La supervisión, monitoreo y evaluación se desarrolla en campo a nivel nacional, según su ámbito de intervención.
Es de responsabilidad de los coordinadores técnicos del programa presupuestal en cada nivel (Nacional y Regional), se realiza de manera conjunta, integrada y articulada con los actores e instancias según su competencia (estadística, administración, planeamiento, presupuesto y otros que se considere necesario).
Los informes que se generan de las acciones de monitoreo, supervisión y evaluación, son alcanzados a los directivos y tomadores de decisión en cada nivel, así como al responsable técnico del programa, coordinador de seguimiento y evaluación y coordinador regional. Estos informes deben ser publicados y difundidos según corresponda.</t>
  </si>
  <si>
    <t>DEFINICIONES OPERACIONALES Y CRITERIOS DE PROGRAMACIÓN 2027 DEL PROGRAMA PRESUPUESTAL 0129: PREVENCION Y MANEJO DE CONDICIONES SECUNDARIAS DE SALUD EN PERSONAS CON DISCAPACIDAD</t>
  </si>
  <si>
    <t>Programan: MINSA,  DIRESA, GERESA, DIRIS y Redes que son unidades ejecutoras.
Se programará para la implementación el número de documentos técnico normativo aprobados con Resolución Ministerial del año anterior.</t>
  </si>
  <si>
    <t>Informes que evidencien el proceso de implementación de los documentos normativos aprobados y relacionados al PP.</t>
  </si>
  <si>
    <t>Programar las visitas a  las familias de personas con discapacidad certificada de la jurisdicción a cargo, en particular al 10% de las personas que tienen discapacidad severa registradas en el Módulo de Discapacidad del SIHCE. 
Programar las visitas RBC en los  EESS del I y II nivel de atención con población asignada. 
Se programa 03 visitas como mínimo  para cada PCD al año.
(*) Número mínimo de PCD certificadas a programar, con incremento del 1% anual nacional a partir del 2025</t>
  </si>
  <si>
    <t xml:space="preserve">
Para la capacitación considerar la participación de los siguientes actores sociales: OMAPED, EDUCACION, ORG. DE BASE, ONG, FAMILIAS, CUIDADORES,REPRESENTANTES DE PCD entre otros.
La capacitación es a través de : Talleres, sesiones educativas y/o sesiones demostrativas.
Los establecimientos de salud programaran 2 capacitaciones al año, dirigidas a los actores sociales, los temas a tratar de acuerdo a la necesidad de información de salud en la temática de discapacidad priorizadas a nivel local o regional.</t>
  </si>
  <si>
    <r>
      <t>Programan los EE.SS con UPSS-MR.
Incrementar el 5% a la sumatoria de la Persona con discapacidad atendida identificada por única vez mediante DNI o carnet de extranjería, en el año anterior con diagnósticos  de deficiencias comprendidas en el grupo seleccionado de Lesiones Medulares, registrados en las UPSS-MR con códigos CIE 10 listados a continuación:  A178, A1782, A800, B690, B91X, B941, C720, C721, D334, G041, G042, G048, G049, G050, G051, G052</t>
    </r>
    <r>
      <rPr>
        <u/>
        <sz val="11"/>
        <rFont val="Calibri Light"/>
        <family val="2"/>
      </rPr>
      <t>,</t>
    </r>
    <r>
      <rPr>
        <sz val="11"/>
        <rFont val="Calibri Light"/>
        <family val="2"/>
      </rPr>
      <t xml:space="preserve"> G058, G114, G320, G35X, G360, G373, G820, G821, G822, G823, G824, G825, G834, G950, G951, G952, G958, G959, G971, M471, M480, M500, Q050, Q051, Q052, Q053, Q054, Q055, Q056, Q057, Q058, Q059, Q060, Q061, Q062, Q063, Q064, Q068, Q069, S140, S141, S240, S241, S340, S341, T88.9, T093 o  procedimientos de CPMS.
</t>
    </r>
  </si>
  <si>
    <t>Para el MINSA
La meta física de la actividad  es igual a la meta fisica del subproducto 5005144 DESARROLLO DE NORMAS Y GUIAS TECNICAS EN DISCAPACIDAD
Para la DIRESA, GERESA, DIRIS y Redes que son unidades ejecutoras.
La meta física de la actividad  es igual la meta fisica del subproducto 5005146 IMPLEMENTACIÓN DE DOCUMENTOS TÉCNICOS NORMATIVOS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</si>
</sst>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Arial"/>
      <family val="2"/>
    </font>
    <font>
      <sz val="11"/>
      <color rgb="FF000000"/>
      <name val="Arial"/>
      <family val="2"/>
    </font>
    <font>
      <sz val="10"/>
      <name val="Arial"/>
      <family val="2"/>
    </font>
    <font>
      <sz val="8"/>
      <name val="Arial"/>
      <family val="2"/>
    </font>
    <font>
      <sz val="11"/>
      <color rgb="FF006100"/>
      <name val="Calibri"/>
      <family val="2"/>
      <scheme val="minor"/>
    </font>
    <font>
      <sz val="11"/>
      <name val="Calibri Light"/>
      <family val="2"/>
    </font>
    <font>
      <b/>
      <sz val="16"/>
      <name val="Calibri Light"/>
      <family val="2"/>
    </font>
    <font>
      <b/>
      <sz val="11"/>
      <name val="Calibri Light"/>
      <family val="2"/>
    </font>
    <font>
      <u/>
      <sz val="11"/>
      <name val="Calibri Light"/>
      <family val="2"/>
    </font>
  </fonts>
  <fills count="7">
    <fill>
      <patternFill patternType="none"/>
    </fill>
    <fill>
      <patternFill patternType="gray125"/>
    </fill>
    <fill>
      <patternFill patternType="solid">
        <fgColor rgb="FFC6EFCE"/>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59999389629810485"/>
        <bgColor rgb="FF002060"/>
      </patternFill>
    </fill>
    <fill>
      <patternFill patternType="solid">
        <fgColor theme="5" tint="0.79998168889431442"/>
        <bgColor rgb="FF00206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4" fillId="2" borderId="0" applyNumberFormat="0" applyBorder="0" applyAlignment="0" applyProtection="0"/>
  </cellStyleXfs>
  <cellXfs count="28">
    <xf numFmtId="0" fontId="0" fillId="0" borderId="0" xfId="0"/>
    <xf numFmtId="0" fontId="5" fillId="0" borderId="0" xfId="0" applyFont="1" applyAlignment="1">
      <alignment horizontal="justify" vertical="center"/>
    </xf>
    <xf numFmtId="0" fontId="5" fillId="0" borderId="1" xfId="2" applyFont="1" applyBorder="1" applyAlignment="1">
      <alignment horizontal="justify" vertical="center" wrapText="1"/>
    </xf>
    <xf numFmtId="0" fontId="5" fillId="0" borderId="1" xfId="0" applyFont="1" applyBorder="1" applyAlignment="1">
      <alignment horizontal="justify" vertical="center" wrapText="1"/>
    </xf>
    <xf numFmtId="0" fontId="5" fillId="0" borderId="0" xfId="0" applyFont="1" applyAlignment="1">
      <alignment horizontal="justify" vertical="center" wrapText="1"/>
    </xf>
    <xf numFmtId="0" fontId="5" fillId="0" borderId="1" xfId="1" applyFont="1" applyBorder="1" applyAlignment="1">
      <alignment horizontal="justify" vertical="center" wrapText="1"/>
    </xf>
    <xf numFmtId="0" fontId="5" fillId="0" borderId="1" xfId="3" applyFont="1" applyFill="1" applyBorder="1" applyAlignment="1">
      <alignment horizontal="justify" vertical="center" wrapText="1"/>
    </xf>
    <xf numFmtId="0" fontId="7" fillId="3" borderId="1" xfId="0" applyFont="1" applyFill="1" applyBorder="1" applyAlignment="1">
      <alignment vertical="center" wrapText="1"/>
    </xf>
    <xf numFmtId="0" fontId="5" fillId="0" borderId="0" xfId="0" applyFont="1" applyAlignment="1">
      <alignment horizontal="center" vertical="center"/>
    </xf>
    <xf numFmtId="0" fontId="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49" fontId="7" fillId="6" borderId="1" xfId="0" applyNumberFormat="1" applyFont="1" applyFill="1" applyBorder="1" applyAlignment="1">
      <alignment horizontal="left" vertical="center" wrapText="1"/>
    </xf>
    <xf numFmtId="0" fontId="7" fillId="0" borderId="0" xfId="0" applyFont="1" applyAlignment="1">
      <alignment horizontal="center" vertical="center"/>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49" fontId="5" fillId="0" borderId="1" xfId="0" applyNumberFormat="1" applyFont="1" applyBorder="1" applyAlignment="1">
      <alignment horizontal="center" vertical="center" wrapText="1"/>
    </xf>
    <xf numFmtId="0" fontId="5" fillId="0" borderId="1" xfId="2" applyFont="1" applyBorder="1" applyAlignment="1">
      <alignment horizontal="center" vertical="center" wrapText="1"/>
    </xf>
    <xf numFmtId="49" fontId="5" fillId="0" borderId="0" xfId="0" applyNumberFormat="1" applyFont="1" applyAlignment="1">
      <alignment horizontal="center" vertical="center" wrapText="1"/>
    </xf>
    <xf numFmtId="0" fontId="7" fillId="3" borderId="1" xfId="0" applyFont="1" applyFill="1" applyBorder="1" applyAlignment="1">
      <alignment horizontal="center" vertical="center" wrapText="1"/>
    </xf>
    <xf numFmtId="0" fontId="6" fillId="0" borderId="0" xfId="0" applyFont="1" applyAlignment="1">
      <alignment horizontal="justify" vertical="center"/>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cellXfs>
  <cellStyles count="4">
    <cellStyle name="Bueno" xfId="3" builtinId="26"/>
    <cellStyle name="Normal" xfId="0" builtinId="0"/>
    <cellStyle name="Normal 2" xfId="1"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51"/>
  <sheetViews>
    <sheetView showGridLines="0" tabSelected="1" zoomScale="90" zoomScaleNormal="90" zoomScaleSheetLayoutView="80" workbookViewId="0">
      <selection activeCell="L4" sqref="L4"/>
    </sheetView>
  </sheetViews>
  <sheetFormatPr baseColWidth="10" defaultColWidth="12.625" defaultRowHeight="15" customHeight="1" x14ac:dyDescent="0.2"/>
  <cols>
    <col min="1" max="1" width="10.25" style="8" customWidth="1"/>
    <col min="2" max="2" width="26.75" style="1" customWidth="1"/>
    <col min="3" max="3" width="11.25" style="8" customWidth="1"/>
    <col min="4" max="4" width="23" style="1" customWidth="1"/>
    <col min="5" max="5" width="12.75" style="8" customWidth="1"/>
    <col min="6" max="6" width="12.625" style="8" customWidth="1"/>
    <col min="7" max="7" width="37.75" style="1" customWidth="1"/>
    <col min="8" max="8" width="36.25" style="1" customWidth="1"/>
    <col min="9" max="9" width="9.5" style="8" customWidth="1"/>
    <col min="10" max="10" width="22.125" style="1" customWidth="1"/>
    <col min="11" max="11" width="12.25" style="8" customWidth="1"/>
    <col min="12" max="12" width="42.5" style="1" customWidth="1"/>
    <col min="13" max="13" width="14.5" style="8" customWidth="1"/>
    <col min="14" max="14" width="21.25" style="1" customWidth="1"/>
    <col min="15" max="15" width="14.625" style="8" customWidth="1"/>
    <col min="16" max="16" width="141.5" style="1" customWidth="1"/>
    <col min="17" max="17" width="74.625" style="1" customWidth="1"/>
    <col min="18" max="18" width="24.25" style="1" customWidth="1"/>
    <col min="19" max="19" width="93.125" style="1" customWidth="1"/>
    <col min="20" max="16384" width="12.625" style="1"/>
  </cols>
  <sheetData>
    <row r="1" spans="1:24" ht="30" customHeight="1" x14ac:dyDescent="0.2">
      <c r="A1" s="21" t="s">
        <v>219</v>
      </c>
      <c r="B1" s="21"/>
      <c r="C1" s="21"/>
      <c r="D1" s="21"/>
      <c r="E1" s="21"/>
      <c r="F1" s="21"/>
      <c r="G1" s="21"/>
      <c r="H1" s="21"/>
      <c r="I1" s="21"/>
      <c r="J1" s="21"/>
      <c r="K1" s="21"/>
      <c r="L1" s="21"/>
      <c r="M1" s="21"/>
      <c r="N1" s="21"/>
      <c r="O1" s="21"/>
      <c r="P1" s="21"/>
      <c r="Q1" s="21"/>
      <c r="R1" s="21"/>
      <c r="S1" s="21"/>
    </row>
    <row r="2" spans="1:24" s="8" customFormat="1" ht="19.5" customHeight="1" x14ac:dyDescent="0.2">
      <c r="A2" s="20" t="s">
        <v>18</v>
      </c>
      <c r="B2" s="20"/>
      <c r="C2" s="25" t="s">
        <v>19</v>
      </c>
      <c r="D2" s="26"/>
      <c r="E2" s="26"/>
      <c r="F2" s="26"/>
      <c r="G2" s="26"/>
      <c r="H2" s="27"/>
      <c r="I2" s="22" t="s">
        <v>20</v>
      </c>
      <c r="J2" s="23"/>
      <c r="K2" s="23"/>
      <c r="L2" s="24"/>
      <c r="M2" s="25" t="s">
        <v>21</v>
      </c>
      <c r="N2" s="26"/>
      <c r="O2" s="26"/>
      <c r="P2" s="26"/>
      <c r="Q2" s="27"/>
      <c r="R2" s="7"/>
      <c r="S2" s="7"/>
    </row>
    <row r="3" spans="1:24" s="14" customFormat="1" ht="64.5" customHeight="1" x14ac:dyDescent="0.2">
      <c r="A3" s="9" t="s">
        <v>0</v>
      </c>
      <c r="B3" s="9" t="s">
        <v>1</v>
      </c>
      <c r="C3" s="9" t="s">
        <v>26</v>
      </c>
      <c r="D3" s="10" t="s">
        <v>2</v>
      </c>
      <c r="E3" s="9" t="s">
        <v>27</v>
      </c>
      <c r="F3" s="9" t="s">
        <v>3</v>
      </c>
      <c r="G3" s="9" t="s">
        <v>4</v>
      </c>
      <c r="H3" s="9" t="s">
        <v>5</v>
      </c>
      <c r="I3" s="11" t="s">
        <v>6</v>
      </c>
      <c r="J3" s="11" t="s">
        <v>7</v>
      </c>
      <c r="K3" s="11" t="s">
        <v>3</v>
      </c>
      <c r="L3" s="11" t="s">
        <v>8</v>
      </c>
      <c r="M3" s="12" t="s">
        <v>9</v>
      </c>
      <c r="N3" s="12" t="s">
        <v>10</v>
      </c>
      <c r="O3" s="12" t="s">
        <v>3</v>
      </c>
      <c r="P3" s="12" t="s">
        <v>11</v>
      </c>
      <c r="Q3" s="12" t="s">
        <v>12</v>
      </c>
      <c r="R3" s="13" t="s">
        <v>13</v>
      </c>
      <c r="S3" s="12" t="s">
        <v>14</v>
      </c>
    </row>
    <row r="4" spans="1:24" ht="159.75" customHeight="1" x14ac:dyDescent="0.2">
      <c r="A4" s="15" t="s">
        <v>28</v>
      </c>
      <c r="B4" s="3" t="s">
        <v>29</v>
      </c>
      <c r="C4" s="15">
        <v>3000001</v>
      </c>
      <c r="D4" s="3" t="s">
        <v>15</v>
      </c>
      <c r="E4" s="15" t="str">
        <f>MID(F4,1,3)</f>
        <v>060</v>
      </c>
      <c r="F4" s="15" t="s">
        <v>23</v>
      </c>
      <c r="G4" s="3" t="s">
        <v>95</v>
      </c>
      <c r="H4" s="3" t="s">
        <v>96</v>
      </c>
      <c r="I4" s="15">
        <v>5005144</v>
      </c>
      <c r="J4" s="3" t="s">
        <v>30</v>
      </c>
      <c r="K4" s="18" t="s">
        <v>24</v>
      </c>
      <c r="L4" s="5" t="s">
        <v>225</v>
      </c>
      <c r="M4" s="15" t="str">
        <f t="shared" ref="M4:M34" si="0">MID(N4,1,7)</f>
        <v>5005144</v>
      </c>
      <c r="N4" s="3" t="s">
        <v>30</v>
      </c>
      <c r="O4" s="15" t="s">
        <v>24</v>
      </c>
      <c r="P4" s="3" t="s">
        <v>84</v>
      </c>
      <c r="Q4" s="2" t="s">
        <v>97</v>
      </c>
      <c r="R4" s="2" t="s">
        <v>16</v>
      </c>
      <c r="S4" s="3" t="s">
        <v>31</v>
      </c>
    </row>
    <row r="5" spans="1:24" ht="150" x14ac:dyDescent="0.2">
      <c r="A5" s="15" t="s">
        <v>28</v>
      </c>
      <c r="B5" s="3" t="s">
        <v>29</v>
      </c>
      <c r="C5" s="15">
        <v>3000001</v>
      </c>
      <c r="D5" s="3" t="s">
        <v>15</v>
      </c>
      <c r="E5" s="15" t="str">
        <f t="shared" ref="E5:E34" si="1">MID(F5,1,3)</f>
        <v>060</v>
      </c>
      <c r="F5" s="15" t="s">
        <v>23</v>
      </c>
      <c r="G5" s="3" t="s">
        <v>95</v>
      </c>
      <c r="H5" s="3" t="s">
        <v>96</v>
      </c>
      <c r="I5" s="15">
        <v>5005144</v>
      </c>
      <c r="J5" s="3" t="s">
        <v>30</v>
      </c>
      <c r="K5" s="18" t="s">
        <v>24</v>
      </c>
      <c r="L5" s="5" t="s">
        <v>225</v>
      </c>
      <c r="M5" s="15" t="str">
        <f t="shared" si="0"/>
        <v>5005146</v>
      </c>
      <c r="N5" s="3" t="s">
        <v>32</v>
      </c>
      <c r="O5" s="15" t="s">
        <v>24</v>
      </c>
      <c r="P5" s="3" t="s">
        <v>99</v>
      </c>
      <c r="Q5" s="2" t="s">
        <v>220</v>
      </c>
      <c r="R5" s="2" t="s">
        <v>16</v>
      </c>
      <c r="S5" s="3" t="s">
        <v>221</v>
      </c>
    </row>
    <row r="6" spans="1:24" ht="408.75" customHeight="1" x14ac:dyDescent="0.2">
      <c r="A6" s="15" t="s">
        <v>28</v>
      </c>
      <c r="B6" s="3" t="s">
        <v>29</v>
      </c>
      <c r="C6" s="15">
        <v>3000001</v>
      </c>
      <c r="D6" s="3" t="s">
        <v>15</v>
      </c>
      <c r="E6" s="15" t="str">
        <f t="shared" si="1"/>
        <v>060</v>
      </c>
      <c r="F6" s="15" t="s">
        <v>23</v>
      </c>
      <c r="G6" s="3" t="s">
        <v>95</v>
      </c>
      <c r="H6" s="3" t="s">
        <v>96</v>
      </c>
      <c r="I6" s="15">
        <v>5005145</v>
      </c>
      <c r="J6" s="3" t="s">
        <v>33</v>
      </c>
      <c r="K6" s="18" t="s">
        <v>23</v>
      </c>
      <c r="L6" s="5" t="s">
        <v>96</v>
      </c>
      <c r="M6" s="15" t="str">
        <f t="shared" si="0"/>
        <v>5005145</v>
      </c>
      <c r="N6" s="3" t="s">
        <v>115</v>
      </c>
      <c r="O6" s="15" t="s">
        <v>23</v>
      </c>
      <c r="P6" s="3" t="s">
        <v>218</v>
      </c>
      <c r="Q6" s="3" t="s">
        <v>190</v>
      </c>
      <c r="R6" s="2" t="s">
        <v>16</v>
      </c>
      <c r="S6" s="3" t="s">
        <v>191</v>
      </c>
      <c r="X6" s="1" t="s">
        <v>100</v>
      </c>
    </row>
    <row r="7" spans="1:24" ht="289.5" customHeight="1" x14ac:dyDescent="0.2">
      <c r="A7" s="15" t="s">
        <v>28</v>
      </c>
      <c r="B7" s="3" t="s">
        <v>29</v>
      </c>
      <c r="C7" s="15" t="s">
        <v>34</v>
      </c>
      <c r="D7" s="3" t="s">
        <v>35</v>
      </c>
      <c r="E7" s="17" t="s">
        <v>85</v>
      </c>
      <c r="F7" s="15" t="s">
        <v>17</v>
      </c>
      <c r="G7" s="3" t="s">
        <v>92</v>
      </c>
      <c r="H7" s="3" t="s">
        <v>98</v>
      </c>
      <c r="I7" s="15">
        <v>5004449</v>
      </c>
      <c r="J7" s="3" t="s">
        <v>36</v>
      </c>
      <c r="K7" s="15" t="s">
        <v>25</v>
      </c>
      <c r="L7" s="3" t="s">
        <v>116</v>
      </c>
      <c r="M7" s="15" t="str">
        <f t="shared" si="0"/>
        <v>5004449</v>
      </c>
      <c r="N7" s="3" t="s">
        <v>73</v>
      </c>
      <c r="O7" s="15" t="s">
        <v>25</v>
      </c>
      <c r="P7" s="3" t="s">
        <v>192</v>
      </c>
      <c r="Q7" s="3" t="s">
        <v>120</v>
      </c>
      <c r="R7" s="3" t="s">
        <v>103</v>
      </c>
      <c r="S7" s="3" t="s">
        <v>104</v>
      </c>
    </row>
    <row r="8" spans="1:24" ht="300" x14ac:dyDescent="0.2">
      <c r="A8" s="15" t="s">
        <v>28</v>
      </c>
      <c r="B8" s="3" t="s">
        <v>29</v>
      </c>
      <c r="C8" s="15" t="s">
        <v>34</v>
      </c>
      <c r="D8" s="3" t="s">
        <v>35</v>
      </c>
      <c r="E8" s="15" t="str">
        <f t="shared" ref="E8:E33" si="2">MID(F8,1,3)</f>
        <v>087</v>
      </c>
      <c r="F8" s="15" t="s">
        <v>17</v>
      </c>
      <c r="G8" s="3" t="s">
        <v>92</v>
      </c>
      <c r="H8" s="3" t="s">
        <v>98</v>
      </c>
      <c r="I8" s="15">
        <v>5005150</v>
      </c>
      <c r="J8" s="3" t="s">
        <v>37</v>
      </c>
      <c r="K8" s="15" t="s">
        <v>17</v>
      </c>
      <c r="L8" s="3" t="s">
        <v>117</v>
      </c>
      <c r="M8" s="15" t="str">
        <f t="shared" si="0"/>
        <v>0515001</v>
      </c>
      <c r="N8" s="3" t="s">
        <v>38</v>
      </c>
      <c r="O8" s="15" t="s">
        <v>17</v>
      </c>
      <c r="P8" s="6" t="s">
        <v>193</v>
      </c>
      <c r="Q8" s="6" t="s">
        <v>224</v>
      </c>
      <c r="R8" s="6" t="s">
        <v>105</v>
      </c>
      <c r="S8" s="6" t="s">
        <v>186</v>
      </c>
    </row>
    <row r="9" spans="1:24" ht="298.5" customHeight="1" x14ac:dyDescent="0.2">
      <c r="A9" s="15" t="s">
        <v>28</v>
      </c>
      <c r="B9" s="3" t="s">
        <v>29</v>
      </c>
      <c r="C9" s="15">
        <v>3000688</v>
      </c>
      <c r="D9" s="3" t="s">
        <v>35</v>
      </c>
      <c r="E9" s="15" t="str">
        <f t="shared" si="2"/>
        <v>087</v>
      </c>
      <c r="F9" s="15" t="s">
        <v>17</v>
      </c>
      <c r="G9" s="3" t="s">
        <v>92</v>
      </c>
      <c r="H9" s="3" t="s">
        <v>93</v>
      </c>
      <c r="I9" s="15">
        <v>5005150</v>
      </c>
      <c r="J9" s="3" t="s">
        <v>37</v>
      </c>
      <c r="K9" s="15" t="s">
        <v>17</v>
      </c>
      <c r="L9" s="3" t="s">
        <v>117</v>
      </c>
      <c r="M9" s="15" t="str">
        <f t="shared" si="0"/>
        <v>0515006</v>
      </c>
      <c r="N9" s="3" t="s">
        <v>40</v>
      </c>
      <c r="O9" s="15" t="s">
        <v>17</v>
      </c>
      <c r="P9" s="6" t="s">
        <v>194</v>
      </c>
      <c r="Q9" s="3" t="s">
        <v>123</v>
      </c>
      <c r="R9" s="3" t="s">
        <v>106</v>
      </c>
      <c r="S9" s="3" t="s">
        <v>124</v>
      </c>
    </row>
    <row r="10" spans="1:24" ht="375" x14ac:dyDescent="0.2">
      <c r="A10" s="15" t="s">
        <v>28</v>
      </c>
      <c r="B10" s="3" t="s">
        <v>29</v>
      </c>
      <c r="C10" s="15" t="s">
        <v>34</v>
      </c>
      <c r="D10" s="3" t="s">
        <v>35</v>
      </c>
      <c r="E10" s="15" t="str">
        <f t="shared" si="2"/>
        <v>087</v>
      </c>
      <c r="F10" s="15" t="s">
        <v>17</v>
      </c>
      <c r="G10" s="3" t="s">
        <v>92</v>
      </c>
      <c r="H10" s="3" t="s">
        <v>93</v>
      </c>
      <c r="I10" s="15">
        <v>5005150</v>
      </c>
      <c r="J10" s="3" t="s">
        <v>37</v>
      </c>
      <c r="K10" s="15" t="s">
        <v>17</v>
      </c>
      <c r="L10" s="3" t="s">
        <v>117</v>
      </c>
      <c r="M10" s="15" t="str">
        <f t="shared" si="0"/>
        <v>0515007</v>
      </c>
      <c r="N10" s="3" t="s">
        <v>41</v>
      </c>
      <c r="O10" s="15" t="s">
        <v>17</v>
      </c>
      <c r="P10" s="3" t="s">
        <v>195</v>
      </c>
      <c r="Q10" s="3" t="s">
        <v>126</v>
      </c>
      <c r="R10" s="3" t="s">
        <v>107</v>
      </c>
      <c r="S10" s="3" t="s">
        <v>125</v>
      </c>
    </row>
    <row r="11" spans="1:24" ht="330" x14ac:dyDescent="0.2">
      <c r="A11" s="15" t="s">
        <v>28</v>
      </c>
      <c r="B11" s="3" t="s">
        <v>29</v>
      </c>
      <c r="C11" s="15" t="s">
        <v>34</v>
      </c>
      <c r="D11" s="3" t="s">
        <v>35</v>
      </c>
      <c r="E11" s="15" t="str">
        <f t="shared" si="2"/>
        <v>087</v>
      </c>
      <c r="F11" s="15" t="s">
        <v>17</v>
      </c>
      <c r="G11" s="3" t="s">
        <v>92</v>
      </c>
      <c r="H11" s="3" t="s">
        <v>93</v>
      </c>
      <c r="I11" s="15">
        <v>5005150</v>
      </c>
      <c r="J11" s="3" t="s">
        <v>37</v>
      </c>
      <c r="K11" s="15" t="s">
        <v>17</v>
      </c>
      <c r="L11" s="3" t="s">
        <v>117</v>
      </c>
      <c r="M11" s="15" t="str">
        <f t="shared" si="0"/>
        <v>0515009</v>
      </c>
      <c r="N11" s="3" t="s">
        <v>42</v>
      </c>
      <c r="O11" s="15" t="s">
        <v>17</v>
      </c>
      <c r="P11" s="3" t="s">
        <v>196</v>
      </c>
      <c r="Q11" s="3" t="s">
        <v>127</v>
      </c>
      <c r="R11" s="3" t="s">
        <v>107</v>
      </c>
      <c r="S11" s="3" t="s">
        <v>128</v>
      </c>
    </row>
    <row r="12" spans="1:24" ht="409.5" customHeight="1" x14ac:dyDescent="0.2">
      <c r="A12" s="15" t="s">
        <v>28</v>
      </c>
      <c r="B12" s="3" t="s">
        <v>29</v>
      </c>
      <c r="C12" s="15" t="s">
        <v>34</v>
      </c>
      <c r="D12" s="3" t="s">
        <v>35</v>
      </c>
      <c r="E12" s="15" t="str">
        <f t="shared" si="2"/>
        <v>087</v>
      </c>
      <c r="F12" s="15" t="s">
        <v>17</v>
      </c>
      <c r="G12" s="3" t="s">
        <v>92</v>
      </c>
      <c r="H12" s="3" t="s">
        <v>93</v>
      </c>
      <c r="I12" s="15">
        <v>5005150</v>
      </c>
      <c r="J12" s="3" t="s">
        <v>37</v>
      </c>
      <c r="K12" s="15" t="s">
        <v>17</v>
      </c>
      <c r="L12" s="3" t="s">
        <v>117</v>
      </c>
      <c r="M12" s="15" t="str">
        <f t="shared" si="0"/>
        <v>0515011</v>
      </c>
      <c r="N12" s="3" t="s">
        <v>43</v>
      </c>
      <c r="O12" s="15" t="s">
        <v>17</v>
      </c>
      <c r="P12" s="3" t="s">
        <v>197</v>
      </c>
      <c r="Q12" s="3" t="s">
        <v>129</v>
      </c>
      <c r="R12" s="3" t="s">
        <v>108</v>
      </c>
      <c r="S12" s="3" t="s">
        <v>122</v>
      </c>
    </row>
    <row r="13" spans="1:24" ht="315" x14ac:dyDescent="0.2">
      <c r="A13" s="15" t="s">
        <v>28</v>
      </c>
      <c r="B13" s="3" t="s">
        <v>29</v>
      </c>
      <c r="C13" s="15" t="s">
        <v>34</v>
      </c>
      <c r="D13" s="3" t="s">
        <v>35</v>
      </c>
      <c r="E13" s="15" t="str">
        <f t="shared" si="2"/>
        <v>087</v>
      </c>
      <c r="F13" s="15" t="s">
        <v>17</v>
      </c>
      <c r="G13" s="3" t="s">
        <v>92</v>
      </c>
      <c r="H13" s="3" t="s">
        <v>93</v>
      </c>
      <c r="I13" s="15">
        <v>5005150</v>
      </c>
      <c r="J13" s="3" t="s">
        <v>37</v>
      </c>
      <c r="K13" s="15" t="s">
        <v>17</v>
      </c>
      <c r="L13" s="3" t="s">
        <v>117</v>
      </c>
      <c r="M13" s="15" t="str">
        <f t="shared" si="0"/>
        <v>0515013</v>
      </c>
      <c r="N13" s="3" t="s">
        <v>74</v>
      </c>
      <c r="O13" s="15" t="s">
        <v>17</v>
      </c>
      <c r="P13" s="3" t="s">
        <v>198</v>
      </c>
      <c r="Q13" s="3" t="s">
        <v>130</v>
      </c>
      <c r="R13" s="3" t="s">
        <v>109</v>
      </c>
      <c r="S13" s="3" t="s">
        <v>131</v>
      </c>
    </row>
    <row r="14" spans="1:24" ht="381.75" customHeight="1" x14ac:dyDescent="0.2">
      <c r="A14" s="15" t="s">
        <v>28</v>
      </c>
      <c r="B14" s="3" t="s">
        <v>29</v>
      </c>
      <c r="C14" s="15" t="s">
        <v>34</v>
      </c>
      <c r="D14" s="3" t="s">
        <v>35</v>
      </c>
      <c r="E14" s="15" t="str">
        <f t="shared" si="2"/>
        <v>087</v>
      </c>
      <c r="F14" s="15" t="s">
        <v>17</v>
      </c>
      <c r="G14" s="3" t="s">
        <v>92</v>
      </c>
      <c r="H14" s="3" t="s">
        <v>93</v>
      </c>
      <c r="I14" s="15">
        <v>5005150</v>
      </c>
      <c r="J14" s="3" t="s">
        <v>37</v>
      </c>
      <c r="K14" s="15" t="s">
        <v>17</v>
      </c>
      <c r="L14" s="3" t="s">
        <v>117</v>
      </c>
      <c r="M14" s="15" t="str">
        <f t="shared" si="0"/>
        <v>0515014</v>
      </c>
      <c r="N14" s="3" t="s">
        <v>39</v>
      </c>
      <c r="O14" s="15" t="s">
        <v>17</v>
      </c>
      <c r="P14" s="3" t="s">
        <v>199</v>
      </c>
      <c r="Q14" s="3" t="s">
        <v>133</v>
      </c>
      <c r="R14" s="3" t="s">
        <v>108</v>
      </c>
      <c r="S14" s="3" t="s">
        <v>132</v>
      </c>
    </row>
    <row r="15" spans="1:24" ht="315" x14ac:dyDescent="0.2">
      <c r="A15" s="15" t="s">
        <v>28</v>
      </c>
      <c r="B15" s="3" t="s">
        <v>29</v>
      </c>
      <c r="C15" s="15" t="s">
        <v>34</v>
      </c>
      <c r="D15" s="3" t="s">
        <v>35</v>
      </c>
      <c r="E15" s="15" t="str">
        <f t="shared" si="2"/>
        <v>087</v>
      </c>
      <c r="F15" s="15" t="s">
        <v>17</v>
      </c>
      <c r="G15" s="3" t="s">
        <v>92</v>
      </c>
      <c r="H15" s="3" t="s">
        <v>93</v>
      </c>
      <c r="I15" s="15">
        <v>5005150</v>
      </c>
      <c r="J15" s="3" t="s">
        <v>37</v>
      </c>
      <c r="K15" s="15" t="s">
        <v>17</v>
      </c>
      <c r="L15" s="3" t="s">
        <v>117</v>
      </c>
      <c r="M15" s="15" t="str">
        <f t="shared" si="0"/>
        <v>0515015</v>
      </c>
      <c r="N15" s="3" t="s">
        <v>44</v>
      </c>
      <c r="O15" s="15" t="s">
        <v>17</v>
      </c>
      <c r="P15" s="3" t="s">
        <v>200</v>
      </c>
      <c r="Q15" s="3" t="s">
        <v>134</v>
      </c>
      <c r="R15" s="3" t="s">
        <v>110</v>
      </c>
      <c r="S15" s="3" t="s">
        <v>135</v>
      </c>
    </row>
    <row r="16" spans="1:24" ht="315" x14ac:dyDescent="0.2">
      <c r="A16" s="15" t="s">
        <v>28</v>
      </c>
      <c r="B16" s="3" t="s">
        <v>29</v>
      </c>
      <c r="C16" s="15" t="s">
        <v>34</v>
      </c>
      <c r="D16" s="3" t="s">
        <v>35</v>
      </c>
      <c r="E16" s="15" t="str">
        <f t="shared" si="2"/>
        <v>087</v>
      </c>
      <c r="F16" s="15" t="s">
        <v>17</v>
      </c>
      <c r="G16" s="3" t="s">
        <v>92</v>
      </c>
      <c r="H16" s="3" t="s">
        <v>93</v>
      </c>
      <c r="I16" s="15">
        <v>5005150</v>
      </c>
      <c r="J16" s="3" t="s">
        <v>37</v>
      </c>
      <c r="K16" s="15" t="s">
        <v>17</v>
      </c>
      <c r="L16" s="3" t="s">
        <v>117</v>
      </c>
      <c r="M16" s="15" t="str">
        <f t="shared" si="0"/>
        <v>0515016</v>
      </c>
      <c r="N16" s="3" t="s">
        <v>45</v>
      </c>
      <c r="O16" s="15" t="s">
        <v>17</v>
      </c>
      <c r="P16" s="3" t="s">
        <v>201</v>
      </c>
      <c r="Q16" s="3" t="s">
        <v>136</v>
      </c>
      <c r="R16" s="3" t="s">
        <v>109</v>
      </c>
      <c r="S16" s="3" t="s">
        <v>137</v>
      </c>
    </row>
    <row r="17" spans="1:21" ht="315" x14ac:dyDescent="0.2">
      <c r="A17" s="15" t="s">
        <v>28</v>
      </c>
      <c r="B17" s="3" t="s">
        <v>29</v>
      </c>
      <c r="C17" s="15" t="s">
        <v>34</v>
      </c>
      <c r="D17" s="3" t="s">
        <v>35</v>
      </c>
      <c r="E17" s="15" t="str">
        <f t="shared" si="2"/>
        <v>087</v>
      </c>
      <c r="F17" s="15" t="s">
        <v>17</v>
      </c>
      <c r="G17" s="3" t="s">
        <v>92</v>
      </c>
      <c r="H17" s="3" t="s">
        <v>93</v>
      </c>
      <c r="I17" s="15">
        <v>5005150</v>
      </c>
      <c r="J17" s="3" t="s">
        <v>37</v>
      </c>
      <c r="K17" s="15" t="s">
        <v>17</v>
      </c>
      <c r="L17" s="3" t="s">
        <v>117</v>
      </c>
      <c r="M17" s="15" t="str">
        <f t="shared" si="0"/>
        <v>0515017</v>
      </c>
      <c r="N17" s="3" t="s">
        <v>46</v>
      </c>
      <c r="O17" s="15" t="s">
        <v>17</v>
      </c>
      <c r="P17" s="3" t="s">
        <v>202</v>
      </c>
      <c r="Q17" s="3" t="s">
        <v>138</v>
      </c>
      <c r="R17" s="3" t="s">
        <v>111</v>
      </c>
      <c r="S17" s="3" t="s">
        <v>139</v>
      </c>
      <c r="U17" s="4"/>
    </row>
    <row r="18" spans="1:21" ht="385.5" customHeight="1" x14ac:dyDescent="0.2">
      <c r="A18" s="15" t="s">
        <v>28</v>
      </c>
      <c r="B18" s="3" t="s">
        <v>29</v>
      </c>
      <c r="C18" s="15" t="s">
        <v>34</v>
      </c>
      <c r="D18" s="3" t="s">
        <v>35</v>
      </c>
      <c r="E18" s="15" t="str">
        <f t="shared" si="2"/>
        <v>087</v>
      </c>
      <c r="F18" s="15" t="s">
        <v>17</v>
      </c>
      <c r="G18" s="3" t="s">
        <v>92</v>
      </c>
      <c r="H18" s="3" t="s">
        <v>98</v>
      </c>
      <c r="I18" s="15">
        <v>5005150</v>
      </c>
      <c r="J18" s="3" t="s">
        <v>37</v>
      </c>
      <c r="K18" s="15" t="s">
        <v>17</v>
      </c>
      <c r="L18" s="3" t="s">
        <v>117</v>
      </c>
      <c r="M18" s="15" t="str">
        <f t="shared" si="0"/>
        <v>0515018</v>
      </c>
      <c r="N18" s="3" t="s">
        <v>47</v>
      </c>
      <c r="O18" s="15" t="s">
        <v>17</v>
      </c>
      <c r="P18" s="3" t="s">
        <v>203</v>
      </c>
      <c r="Q18" s="3" t="s">
        <v>140</v>
      </c>
      <c r="R18" s="3" t="s">
        <v>109</v>
      </c>
      <c r="S18" s="3" t="s">
        <v>141</v>
      </c>
    </row>
    <row r="19" spans="1:21" ht="409.5" customHeight="1" x14ac:dyDescent="0.2">
      <c r="A19" s="15" t="s">
        <v>28</v>
      </c>
      <c r="B19" s="3" t="s">
        <v>29</v>
      </c>
      <c r="C19" s="15" t="s">
        <v>34</v>
      </c>
      <c r="D19" s="3" t="s">
        <v>35</v>
      </c>
      <c r="E19" s="15" t="str">
        <f t="shared" si="2"/>
        <v>087</v>
      </c>
      <c r="F19" s="15" t="s">
        <v>17</v>
      </c>
      <c r="G19" s="3" t="s">
        <v>92</v>
      </c>
      <c r="H19" s="3" t="s">
        <v>98</v>
      </c>
      <c r="I19" s="15">
        <v>5005150</v>
      </c>
      <c r="J19" s="3" t="s">
        <v>37</v>
      </c>
      <c r="K19" s="15" t="s">
        <v>17</v>
      </c>
      <c r="L19" s="3" t="s">
        <v>117</v>
      </c>
      <c r="M19" s="15" t="str">
        <f t="shared" si="0"/>
        <v>0515019</v>
      </c>
      <c r="N19" s="3" t="s">
        <v>48</v>
      </c>
      <c r="O19" s="15" t="s">
        <v>17</v>
      </c>
      <c r="P19" s="3" t="s">
        <v>204</v>
      </c>
      <c r="Q19" s="3" t="s">
        <v>142</v>
      </c>
      <c r="R19" s="3" t="s">
        <v>111</v>
      </c>
      <c r="S19" s="3" t="s">
        <v>143</v>
      </c>
    </row>
    <row r="20" spans="1:21" ht="387" customHeight="1" x14ac:dyDescent="0.2">
      <c r="A20" s="15" t="s">
        <v>28</v>
      </c>
      <c r="B20" s="3" t="s">
        <v>29</v>
      </c>
      <c r="C20" s="15" t="s">
        <v>34</v>
      </c>
      <c r="D20" s="3" t="s">
        <v>35</v>
      </c>
      <c r="E20" s="15" t="str">
        <f t="shared" si="2"/>
        <v>087</v>
      </c>
      <c r="F20" s="15" t="s">
        <v>17</v>
      </c>
      <c r="G20" s="3" t="s">
        <v>92</v>
      </c>
      <c r="H20" s="3" t="s">
        <v>93</v>
      </c>
      <c r="I20" s="15">
        <v>5005150</v>
      </c>
      <c r="J20" s="3" t="s">
        <v>37</v>
      </c>
      <c r="K20" s="15" t="s">
        <v>17</v>
      </c>
      <c r="L20" s="3" t="s">
        <v>117</v>
      </c>
      <c r="M20" s="15" t="str">
        <f t="shared" si="0"/>
        <v>0515020</v>
      </c>
      <c r="N20" s="3" t="s">
        <v>49</v>
      </c>
      <c r="O20" s="15" t="s">
        <v>17</v>
      </c>
      <c r="P20" s="3" t="s">
        <v>205</v>
      </c>
      <c r="Q20" s="3" t="s">
        <v>145</v>
      </c>
      <c r="R20" s="3" t="s">
        <v>109</v>
      </c>
      <c r="S20" s="3" t="s">
        <v>144</v>
      </c>
    </row>
    <row r="21" spans="1:21" ht="363" customHeight="1" x14ac:dyDescent="0.2">
      <c r="A21" s="15" t="s">
        <v>28</v>
      </c>
      <c r="B21" s="3" t="s">
        <v>29</v>
      </c>
      <c r="C21" s="15" t="s">
        <v>34</v>
      </c>
      <c r="D21" s="3" t="s">
        <v>35</v>
      </c>
      <c r="E21" s="15" t="str">
        <f t="shared" si="2"/>
        <v>087</v>
      </c>
      <c r="F21" s="15" t="s">
        <v>17</v>
      </c>
      <c r="G21" s="3" t="s">
        <v>92</v>
      </c>
      <c r="H21" s="3" t="s">
        <v>93</v>
      </c>
      <c r="I21" s="15">
        <v>5005150</v>
      </c>
      <c r="J21" s="3" t="s">
        <v>37</v>
      </c>
      <c r="K21" s="15" t="s">
        <v>17</v>
      </c>
      <c r="L21" s="3" t="s">
        <v>117</v>
      </c>
      <c r="M21" s="15" t="str">
        <f t="shared" si="0"/>
        <v>0515021</v>
      </c>
      <c r="N21" s="3" t="s">
        <v>50</v>
      </c>
      <c r="O21" s="15" t="s">
        <v>17</v>
      </c>
      <c r="P21" s="3" t="s">
        <v>206</v>
      </c>
      <c r="Q21" s="3" t="s">
        <v>147</v>
      </c>
      <c r="R21" s="3" t="s">
        <v>108</v>
      </c>
      <c r="S21" s="3" t="s">
        <v>146</v>
      </c>
    </row>
    <row r="22" spans="1:21" ht="360.75" customHeight="1" x14ac:dyDescent="0.2">
      <c r="A22" s="15" t="s">
        <v>28</v>
      </c>
      <c r="B22" s="3" t="s">
        <v>29</v>
      </c>
      <c r="C22" s="15" t="s">
        <v>34</v>
      </c>
      <c r="D22" s="3" t="s">
        <v>35</v>
      </c>
      <c r="E22" s="15" t="str">
        <f t="shared" si="2"/>
        <v>087</v>
      </c>
      <c r="F22" s="15" t="s">
        <v>17</v>
      </c>
      <c r="G22" s="3" t="s">
        <v>92</v>
      </c>
      <c r="H22" s="3" t="s">
        <v>93</v>
      </c>
      <c r="I22" s="15">
        <v>5005150</v>
      </c>
      <c r="J22" s="3" t="s">
        <v>37</v>
      </c>
      <c r="K22" s="15" t="s">
        <v>17</v>
      </c>
      <c r="L22" s="3" t="s">
        <v>117</v>
      </c>
      <c r="M22" s="15" t="str">
        <f t="shared" si="0"/>
        <v>0515022</v>
      </c>
      <c r="N22" s="3" t="s">
        <v>75</v>
      </c>
      <c r="O22" s="15" t="s">
        <v>17</v>
      </c>
      <c r="P22" s="3" t="s">
        <v>207</v>
      </c>
      <c r="Q22" s="3" t="s">
        <v>148</v>
      </c>
      <c r="R22" s="3" t="s">
        <v>109</v>
      </c>
      <c r="S22" s="3" t="s">
        <v>149</v>
      </c>
    </row>
    <row r="23" spans="1:21" ht="351.75" customHeight="1" x14ac:dyDescent="0.2">
      <c r="A23" s="15" t="s">
        <v>28</v>
      </c>
      <c r="B23" s="3" t="s">
        <v>29</v>
      </c>
      <c r="C23" s="15" t="s">
        <v>34</v>
      </c>
      <c r="D23" s="3" t="s">
        <v>35</v>
      </c>
      <c r="E23" s="15" t="str">
        <f t="shared" si="2"/>
        <v>087</v>
      </c>
      <c r="F23" s="15" t="s">
        <v>17</v>
      </c>
      <c r="G23" s="3" t="s">
        <v>92</v>
      </c>
      <c r="H23" s="3" t="s">
        <v>93</v>
      </c>
      <c r="I23" s="15" t="s">
        <v>51</v>
      </c>
      <c r="J23" s="3" t="s">
        <v>52</v>
      </c>
      <c r="K23" s="15" t="s">
        <v>17</v>
      </c>
      <c r="L23" s="3" t="s">
        <v>118</v>
      </c>
      <c r="M23" s="15" t="str">
        <f t="shared" si="0"/>
        <v>0515101</v>
      </c>
      <c r="N23" s="3" t="s">
        <v>76</v>
      </c>
      <c r="O23" s="15" t="s">
        <v>17</v>
      </c>
      <c r="P23" s="3" t="s">
        <v>208</v>
      </c>
      <c r="Q23" s="3" t="s">
        <v>150</v>
      </c>
      <c r="R23" s="3" t="s">
        <v>109</v>
      </c>
      <c r="S23" s="3" t="s">
        <v>151</v>
      </c>
    </row>
    <row r="24" spans="1:21" ht="350.25" customHeight="1" x14ac:dyDescent="0.2">
      <c r="A24" s="15" t="s">
        <v>28</v>
      </c>
      <c r="B24" s="3" t="s">
        <v>29</v>
      </c>
      <c r="C24" s="15" t="s">
        <v>34</v>
      </c>
      <c r="D24" s="3" t="s">
        <v>35</v>
      </c>
      <c r="E24" s="15" t="str">
        <f t="shared" si="2"/>
        <v>087</v>
      </c>
      <c r="F24" s="15" t="s">
        <v>17</v>
      </c>
      <c r="G24" s="3" t="s">
        <v>92</v>
      </c>
      <c r="H24" s="3" t="s">
        <v>93</v>
      </c>
      <c r="I24" s="15" t="s">
        <v>51</v>
      </c>
      <c r="J24" s="3" t="s">
        <v>52</v>
      </c>
      <c r="K24" s="15" t="s">
        <v>17</v>
      </c>
      <c r="L24" s="3" t="s">
        <v>118</v>
      </c>
      <c r="M24" s="15" t="str">
        <f t="shared" si="0"/>
        <v>0515102</v>
      </c>
      <c r="N24" s="3" t="s">
        <v>77</v>
      </c>
      <c r="O24" s="15" t="s">
        <v>17</v>
      </c>
      <c r="P24" s="3" t="s">
        <v>209</v>
      </c>
      <c r="Q24" s="3" t="s">
        <v>153</v>
      </c>
      <c r="R24" s="3" t="s">
        <v>109</v>
      </c>
      <c r="S24" s="3" t="s">
        <v>152</v>
      </c>
    </row>
    <row r="25" spans="1:21" ht="344.25" customHeight="1" x14ac:dyDescent="0.2">
      <c r="A25" s="15" t="s">
        <v>28</v>
      </c>
      <c r="B25" s="3" t="s">
        <v>29</v>
      </c>
      <c r="C25" s="15" t="s">
        <v>34</v>
      </c>
      <c r="D25" s="3" t="s">
        <v>35</v>
      </c>
      <c r="E25" s="15" t="str">
        <f t="shared" si="2"/>
        <v>087</v>
      </c>
      <c r="F25" s="15" t="s">
        <v>17</v>
      </c>
      <c r="G25" s="3" t="s">
        <v>92</v>
      </c>
      <c r="H25" s="3" t="s">
        <v>93</v>
      </c>
      <c r="I25" s="15" t="s">
        <v>51</v>
      </c>
      <c r="J25" s="3" t="s">
        <v>52</v>
      </c>
      <c r="K25" s="15" t="s">
        <v>17</v>
      </c>
      <c r="L25" s="3" t="s">
        <v>118</v>
      </c>
      <c r="M25" s="15" t="str">
        <f t="shared" si="0"/>
        <v>0515103</v>
      </c>
      <c r="N25" s="3" t="s">
        <v>53</v>
      </c>
      <c r="O25" s="15" t="s">
        <v>17</v>
      </c>
      <c r="P25" s="3" t="s">
        <v>210</v>
      </c>
      <c r="Q25" s="3" t="s">
        <v>154</v>
      </c>
      <c r="R25" s="3" t="s">
        <v>109</v>
      </c>
      <c r="S25" s="3" t="s">
        <v>155</v>
      </c>
    </row>
    <row r="26" spans="1:21" ht="363.75" customHeight="1" x14ac:dyDescent="0.2">
      <c r="A26" s="15" t="s">
        <v>28</v>
      </c>
      <c r="B26" s="3" t="s">
        <v>29</v>
      </c>
      <c r="C26" s="15" t="s">
        <v>34</v>
      </c>
      <c r="D26" s="3" t="s">
        <v>35</v>
      </c>
      <c r="E26" s="15" t="str">
        <f t="shared" si="2"/>
        <v>087</v>
      </c>
      <c r="F26" s="15" t="s">
        <v>17</v>
      </c>
      <c r="G26" s="3" t="s">
        <v>92</v>
      </c>
      <c r="H26" s="3" t="s">
        <v>93</v>
      </c>
      <c r="I26" s="15" t="s">
        <v>51</v>
      </c>
      <c r="J26" s="3" t="s">
        <v>52</v>
      </c>
      <c r="K26" s="15" t="s">
        <v>17</v>
      </c>
      <c r="L26" s="3" t="s">
        <v>118</v>
      </c>
      <c r="M26" s="15" t="str">
        <f t="shared" si="0"/>
        <v>0515105</v>
      </c>
      <c r="N26" s="3" t="s">
        <v>54</v>
      </c>
      <c r="O26" s="15" t="s">
        <v>17</v>
      </c>
      <c r="P26" s="3" t="s">
        <v>211</v>
      </c>
      <c r="Q26" s="3" t="s">
        <v>156</v>
      </c>
      <c r="R26" s="3" t="s">
        <v>109</v>
      </c>
      <c r="S26" s="3" t="s">
        <v>157</v>
      </c>
    </row>
    <row r="27" spans="1:21" ht="371.25" customHeight="1" x14ac:dyDescent="0.2">
      <c r="A27" s="15" t="s">
        <v>28</v>
      </c>
      <c r="B27" s="3" t="s">
        <v>29</v>
      </c>
      <c r="C27" s="15" t="s">
        <v>34</v>
      </c>
      <c r="D27" s="3" t="s">
        <v>35</v>
      </c>
      <c r="E27" s="15" t="str">
        <f t="shared" si="2"/>
        <v>087</v>
      </c>
      <c r="F27" s="15" t="s">
        <v>17</v>
      </c>
      <c r="G27" s="3" t="s">
        <v>92</v>
      </c>
      <c r="H27" s="3" t="s">
        <v>93</v>
      </c>
      <c r="I27" s="15" t="s">
        <v>51</v>
      </c>
      <c r="J27" s="3" t="s">
        <v>52</v>
      </c>
      <c r="K27" s="15" t="s">
        <v>17</v>
      </c>
      <c r="L27" s="3" t="s">
        <v>118</v>
      </c>
      <c r="M27" s="15" t="str">
        <f t="shared" si="0"/>
        <v>0515106</v>
      </c>
      <c r="N27" s="3" t="s">
        <v>55</v>
      </c>
      <c r="O27" s="15" t="s">
        <v>17</v>
      </c>
      <c r="P27" s="3" t="s">
        <v>212</v>
      </c>
      <c r="Q27" s="3" t="s">
        <v>159</v>
      </c>
      <c r="R27" s="3" t="s">
        <v>112</v>
      </c>
      <c r="S27" s="3" t="s">
        <v>158</v>
      </c>
    </row>
    <row r="28" spans="1:21" ht="354" customHeight="1" x14ac:dyDescent="0.2">
      <c r="A28" s="15" t="s">
        <v>28</v>
      </c>
      <c r="B28" s="3" t="s">
        <v>29</v>
      </c>
      <c r="C28" s="15" t="s">
        <v>34</v>
      </c>
      <c r="D28" s="3" t="s">
        <v>35</v>
      </c>
      <c r="E28" s="15" t="str">
        <f t="shared" si="2"/>
        <v>087</v>
      </c>
      <c r="F28" s="15" t="s">
        <v>17</v>
      </c>
      <c r="G28" s="3" t="s">
        <v>92</v>
      </c>
      <c r="H28" s="3" t="s">
        <v>93</v>
      </c>
      <c r="I28" s="15" t="s">
        <v>51</v>
      </c>
      <c r="J28" s="3" t="s">
        <v>52</v>
      </c>
      <c r="K28" s="15" t="s">
        <v>17</v>
      </c>
      <c r="L28" s="3" t="s">
        <v>118</v>
      </c>
      <c r="M28" s="15" t="str">
        <f t="shared" si="0"/>
        <v>0515107</v>
      </c>
      <c r="N28" s="3" t="s">
        <v>78</v>
      </c>
      <c r="O28" s="15" t="s">
        <v>17</v>
      </c>
      <c r="P28" s="3" t="s">
        <v>213</v>
      </c>
      <c r="Q28" s="3" t="s">
        <v>161</v>
      </c>
      <c r="R28" s="3" t="s">
        <v>109</v>
      </c>
      <c r="S28" s="3" t="s">
        <v>160</v>
      </c>
    </row>
    <row r="29" spans="1:21" ht="315" x14ac:dyDescent="0.2">
      <c r="A29" s="15" t="s">
        <v>28</v>
      </c>
      <c r="B29" s="3" t="s">
        <v>29</v>
      </c>
      <c r="C29" s="15" t="s">
        <v>34</v>
      </c>
      <c r="D29" s="3" t="s">
        <v>35</v>
      </c>
      <c r="E29" s="15" t="str">
        <f t="shared" si="2"/>
        <v>087</v>
      </c>
      <c r="F29" s="15" t="s">
        <v>17</v>
      </c>
      <c r="G29" s="3" t="s">
        <v>92</v>
      </c>
      <c r="H29" s="3" t="s">
        <v>93</v>
      </c>
      <c r="I29" s="15" t="s">
        <v>56</v>
      </c>
      <c r="J29" s="3" t="s">
        <v>57</v>
      </c>
      <c r="K29" s="15" t="s">
        <v>17</v>
      </c>
      <c r="L29" s="3" t="s">
        <v>119</v>
      </c>
      <c r="M29" s="15" t="str">
        <f t="shared" si="0"/>
        <v>0515201</v>
      </c>
      <c r="N29" s="3" t="s">
        <v>79</v>
      </c>
      <c r="O29" s="15" t="s">
        <v>17</v>
      </c>
      <c r="P29" s="3" t="s">
        <v>214</v>
      </c>
      <c r="Q29" s="3" t="s">
        <v>163</v>
      </c>
      <c r="R29" s="3" t="s">
        <v>113</v>
      </c>
      <c r="S29" s="3" t="s">
        <v>162</v>
      </c>
    </row>
    <row r="30" spans="1:21" ht="345" x14ac:dyDescent="0.2">
      <c r="A30" s="15" t="s">
        <v>28</v>
      </c>
      <c r="B30" s="3" t="s">
        <v>29</v>
      </c>
      <c r="C30" s="15" t="s">
        <v>34</v>
      </c>
      <c r="D30" s="3" t="s">
        <v>35</v>
      </c>
      <c r="E30" s="15" t="str">
        <f t="shared" si="2"/>
        <v>087</v>
      </c>
      <c r="F30" s="15" t="s">
        <v>17</v>
      </c>
      <c r="G30" s="3" t="s">
        <v>92</v>
      </c>
      <c r="H30" s="3" t="s">
        <v>93</v>
      </c>
      <c r="I30" s="15" t="s">
        <v>56</v>
      </c>
      <c r="J30" s="3" t="s">
        <v>57</v>
      </c>
      <c r="K30" s="15" t="s">
        <v>17</v>
      </c>
      <c r="L30" s="3" t="s">
        <v>94</v>
      </c>
      <c r="M30" s="15" t="str">
        <f t="shared" si="0"/>
        <v>0515202</v>
      </c>
      <c r="N30" s="3" t="s">
        <v>80</v>
      </c>
      <c r="O30" s="15" t="s">
        <v>17</v>
      </c>
      <c r="P30" s="3" t="s">
        <v>215</v>
      </c>
      <c r="Q30" s="3" t="s">
        <v>165</v>
      </c>
      <c r="R30" s="3" t="s">
        <v>111</v>
      </c>
      <c r="S30" s="3" t="s">
        <v>164</v>
      </c>
    </row>
    <row r="31" spans="1:21" ht="360" x14ac:dyDescent="0.2">
      <c r="A31" s="15" t="s">
        <v>28</v>
      </c>
      <c r="B31" s="3" t="s">
        <v>29</v>
      </c>
      <c r="C31" s="15" t="s">
        <v>34</v>
      </c>
      <c r="D31" s="3" t="s">
        <v>35</v>
      </c>
      <c r="E31" s="15" t="str">
        <f t="shared" si="2"/>
        <v>087</v>
      </c>
      <c r="F31" s="15" t="s">
        <v>17</v>
      </c>
      <c r="G31" s="3" t="s">
        <v>92</v>
      </c>
      <c r="H31" s="3" t="s">
        <v>93</v>
      </c>
      <c r="I31" s="15" t="s">
        <v>56</v>
      </c>
      <c r="J31" s="3" t="s">
        <v>57</v>
      </c>
      <c r="K31" s="15" t="s">
        <v>17</v>
      </c>
      <c r="L31" s="3" t="s">
        <v>119</v>
      </c>
      <c r="M31" s="15" t="str">
        <f t="shared" si="0"/>
        <v>0515203</v>
      </c>
      <c r="N31" s="3" t="s">
        <v>81</v>
      </c>
      <c r="O31" s="15" t="s">
        <v>17</v>
      </c>
      <c r="P31" s="3" t="s">
        <v>216</v>
      </c>
      <c r="Q31" s="3" t="s">
        <v>166</v>
      </c>
      <c r="R31" s="3" t="s">
        <v>109</v>
      </c>
      <c r="S31" s="3" t="s">
        <v>167</v>
      </c>
    </row>
    <row r="32" spans="1:21" ht="336" customHeight="1" x14ac:dyDescent="0.2">
      <c r="A32" s="15" t="s">
        <v>28</v>
      </c>
      <c r="B32" s="3" t="s">
        <v>29</v>
      </c>
      <c r="C32" s="15" t="s">
        <v>34</v>
      </c>
      <c r="D32" s="3" t="s">
        <v>35</v>
      </c>
      <c r="E32" s="15" t="str">
        <f t="shared" si="2"/>
        <v>087</v>
      </c>
      <c r="F32" s="15" t="s">
        <v>17</v>
      </c>
      <c r="G32" s="3" t="s">
        <v>92</v>
      </c>
      <c r="H32" s="3" t="s">
        <v>93</v>
      </c>
      <c r="I32" s="15" t="s">
        <v>56</v>
      </c>
      <c r="J32" s="3" t="s">
        <v>57</v>
      </c>
      <c r="K32" s="15" t="s">
        <v>17</v>
      </c>
      <c r="L32" s="3" t="s">
        <v>119</v>
      </c>
      <c r="M32" s="15" t="str">
        <f t="shared" si="0"/>
        <v>0515204</v>
      </c>
      <c r="N32" s="3" t="s">
        <v>82</v>
      </c>
      <c r="O32" s="15" t="s">
        <v>17</v>
      </c>
      <c r="P32" s="3" t="s">
        <v>217</v>
      </c>
      <c r="Q32" s="3" t="s">
        <v>168</v>
      </c>
      <c r="R32" s="3" t="s">
        <v>109</v>
      </c>
      <c r="S32" s="3" t="s">
        <v>169</v>
      </c>
    </row>
    <row r="33" spans="1:19" ht="130.5" customHeight="1" x14ac:dyDescent="0.2">
      <c r="A33" s="15" t="s">
        <v>28</v>
      </c>
      <c r="B33" s="3" t="s">
        <v>29</v>
      </c>
      <c r="C33" s="15" t="s">
        <v>58</v>
      </c>
      <c r="D33" s="3" t="s">
        <v>59</v>
      </c>
      <c r="E33" s="15" t="str">
        <f t="shared" si="2"/>
        <v>087</v>
      </c>
      <c r="F33" s="15" t="s">
        <v>171</v>
      </c>
      <c r="G33" s="3" t="s">
        <v>172</v>
      </c>
      <c r="H33" s="3" t="s">
        <v>173</v>
      </c>
      <c r="I33" s="15" t="s">
        <v>61</v>
      </c>
      <c r="J33" s="3" t="s">
        <v>62</v>
      </c>
      <c r="K33" s="15" t="s">
        <v>171</v>
      </c>
      <c r="L33" s="3" t="s">
        <v>86</v>
      </c>
      <c r="M33" s="15" t="str">
        <f t="shared" si="0"/>
        <v>5005153</v>
      </c>
      <c r="N33" s="3" t="s">
        <v>62</v>
      </c>
      <c r="O33" s="15" t="s">
        <v>171</v>
      </c>
      <c r="P33" s="3" t="s">
        <v>174</v>
      </c>
      <c r="Q33" s="3" t="s">
        <v>175</v>
      </c>
      <c r="R33" s="3" t="s">
        <v>63</v>
      </c>
      <c r="S33" s="3" t="s">
        <v>176</v>
      </c>
    </row>
    <row r="34" spans="1:19" ht="125.25" customHeight="1" x14ac:dyDescent="0.2">
      <c r="A34" s="15" t="s">
        <v>28</v>
      </c>
      <c r="B34" s="3" t="s">
        <v>29</v>
      </c>
      <c r="C34" s="15" t="s">
        <v>58</v>
      </c>
      <c r="D34" s="3" t="s">
        <v>59</v>
      </c>
      <c r="E34" s="15" t="str">
        <f t="shared" si="1"/>
        <v>087</v>
      </c>
      <c r="F34" s="15" t="s">
        <v>17</v>
      </c>
      <c r="G34" s="3" t="s">
        <v>170</v>
      </c>
      <c r="H34" s="3" t="s">
        <v>60</v>
      </c>
      <c r="I34" s="15" t="s">
        <v>64</v>
      </c>
      <c r="J34" s="3" t="s">
        <v>65</v>
      </c>
      <c r="K34" s="15" t="s">
        <v>17</v>
      </c>
      <c r="L34" s="3" t="s">
        <v>86</v>
      </c>
      <c r="M34" s="15" t="str">
        <f t="shared" si="0"/>
        <v>5005154</v>
      </c>
      <c r="N34" s="3" t="s">
        <v>65</v>
      </c>
      <c r="O34" s="15" t="s">
        <v>17</v>
      </c>
      <c r="P34" s="3" t="s">
        <v>66</v>
      </c>
      <c r="Q34" s="3" t="s">
        <v>114</v>
      </c>
      <c r="R34" s="3" t="s">
        <v>67</v>
      </c>
      <c r="S34" s="3" t="s">
        <v>121</v>
      </c>
    </row>
    <row r="35" spans="1:19" ht="228" customHeight="1" x14ac:dyDescent="0.2">
      <c r="A35" s="15" t="s">
        <v>28</v>
      </c>
      <c r="B35" s="3" t="s">
        <v>29</v>
      </c>
      <c r="C35" s="15" t="s">
        <v>68</v>
      </c>
      <c r="D35" s="3" t="s">
        <v>69</v>
      </c>
      <c r="E35" s="15" t="s">
        <v>177</v>
      </c>
      <c r="F35" s="15" t="s">
        <v>22</v>
      </c>
      <c r="G35" s="3" t="s">
        <v>178</v>
      </c>
      <c r="H35" s="3" t="s">
        <v>179</v>
      </c>
      <c r="I35" s="15" t="s">
        <v>70</v>
      </c>
      <c r="J35" s="3" t="s">
        <v>88</v>
      </c>
      <c r="K35" s="15" t="s">
        <v>25</v>
      </c>
      <c r="L35" s="3" t="s">
        <v>86</v>
      </c>
      <c r="M35" s="15" t="s">
        <v>70</v>
      </c>
      <c r="N35" s="3" t="s">
        <v>90</v>
      </c>
      <c r="O35" s="15" t="s">
        <v>25</v>
      </c>
      <c r="P35" s="3" t="s">
        <v>182</v>
      </c>
      <c r="Q35" s="3" t="s">
        <v>183</v>
      </c>
      <c r="R35" s="3" t="s">
        <v>102</v>
      </c>
      <c r="S35" s="3" t="s">
        <v>188</v>
      </c>
    </row>
    <row r="36" spans="1:19" ht="323.25" customHeight="1" x14ac:dyDescent="0.2">
      <c r="A36" s="15" t="s">
        <v>28</v>
      </c>
      <c r="B36" s="3" t="s">
        <v>29</v>
      </c>
      <c r="C36" s="15" t="s">
        <v>68</v>
      </c>
      <c r="D36" s="3" t="s">
        <v>69</v>
      </c>
      <c r="E36" s="15" t="s">
        <v>177</v>
      </c>
      <c r="F36" s="15" t="s">
        <v>22</v>
      </c>
      <c r="G36" s="3" t="s">
        <v>178</v>
      </c>
      <c r="H36" s="3" t="s">
        <v>101</v>
      </c>
      <c r="I36" s="15" t="s">
        <v>71</v>
      </c>
      <c r="J36" s="3" t="s">
        <v>89</v>
      </c>
      <c r="K36" s="15" t="s">
        <v>22</v>
      </c>
      <c r="L36" s="3" t="s">
        <v>86</v>
      </c>
      <c r="M36" s="15" t="s">
        <v>71</v>
      </c>
      <c r="N36" s="3" t="s">
        <v>87</v>
      </c>
      <c r="O36" s="15" t="s">
        <v>22</v>
      </c>
      <c r="P36" s="3" t="s">
        <v>184</v>
      </c>
      <c r="Q36" s="3" t="s">
        <v>222</v>
      </c>
      <c r="R36" s="3" t="s">
        <v>187</v>
      </c>
      <c r="S36" s="3" t="s">
        <v>185</v>
      </c>
    </row>
    <row r="37" spans="1:19" ht="395.25" customHeight="1" x14ac:dyDescent="0.2">
      <c r="A37" s="15" t="s">
        <v>28</v>
      </c>
      <c r="B37" s="3" t="s">
        <v>29</v>
      </c>
      <c r="C37" s="15" t="s">
        <v>68</v>
      </c>
      <c r="D37" s="3" t="s">
        <v>69</v>
      </c>
      <c r="E37" s="15" t="s">
        <v>177</v>
      </c>
      <c r="F37" s="15" t="s">
        <v>22</v>
      </c>
      <c r="G37" s="3" t="s">
        <v>178</v>
      </c>
      <c r="H37" s="3" t="s">
        <v>101</v>
      </c>
      <c r="I37" s="15" t="s">
        <v>72</v>
      </c>
      <c r="J37" s="3" t="s">
        <v>91</v>
      </c>
      <c r="K37" s="15" t="s">
        <v>25</v>
      </c>
      <c r="L37" s="3" t="s">
        <v>86</v>
      </c>
      <c r="M37" s="15" t="s">
        <v>72</v>
      </c>
      <c r="N37" s="3" t="s">
        <v>83</v>
      </c>
      <c r="O37" s="15" t="s">
        <v>25</v>
      </c>
      <c r="P37" s="3" t="s">
        <v>180</v>
      </c>
      <c r="Q37" s="3" t="s">
        <v>223</v>
      </c>
      <c r="R37" s="3" t="s">
        <v>181</v>
      </c>
      <c r="S37" s="3" t="s">
        <v>189</v>
      </c>
    </row>
    <row r="38" spans="1:19" s="4" customFormat="1" x14ac:dyDescent="0.2">
      <c r="A38" s="16"/>
      <c r="C38" s="16"/>
      <c r="E38" s="16"/>
      <c r="F38" s="16"/>
      <c r="I38" s="16"/>
      <c r="K38" s="16"/>
      <c r="M38" s="19"/>
      <c r="O38" s="16"/>
    </row>
    <row r="39" spans="1:19" s="4" customFormat="1" x14ac:dyDescent="0.2">
      <c r="A39" s="16"/>
      <c r="C39" s="16"/>
      <c r="E39" s="16"/>
      <c r="F39" s="16"/>
      <c r="I39" s="16"/>
      <c r="K39" s="16"/>
      <c r="M39" s="19"/>
      <c r="O39" s="16"/>
    </row>
    <row r="40" spans="1:19" s="4" customFormat="1" x14ac:dyDescent="0.2">
      <c r="A40" s="16"/>
      <c r="C40" s="16"/>
      <c r="E40" s="16"/>
      <c r="F40" s="16"/>
      <c r="I40" s="16"/>
      <c r="K40" s="16"/>
      <c r="M40" s="19"/>
      <c r="O40" s="16"/>
    </row>
    <row r="41" spans="1:19" s="4" customFormat="1" x14ac:dyDescent="0.2">
      <c r="A41" s="16"/>
      <c r="C41" s="16"/>
      <c r="E41" s="16"/>
      <c r="F41" s="16"/>
      <c r="I41" s="16"/>
      <c r="K41" s="16"/>
      <c r="M41" s="19"/>
      <c r="O41" s="16"/>
    </row>
    <row r="42" spans="1:19" s="4" customFormat="1" x14ac:dyDescent="0.2">
      <c r="A42" s="16"/>
      <c r="C42" s="16"/>
      <c r="E42" s="16"/>
      <c r="F42" s="16"/>
      <c r="I42" s="16"/>
      <c r="K42" s="16"/>
      <c r="M42" s="19"/>
      <c r="O42" s="16"/>
    </row>
    <row r="43" spans="1:19" s="4" customFormat="1" x14ac:dyDescent="0.2">
      <c r="A43" s="16"/>
      <c r="C43" s="16"/>
      <c r="E43" s="16"/>
      <c r="F43" s="16"/>
      <c r="I43" s="16"/>
      <c r="K43" s="16"/>
      <c r="M43" s="19"/>
      <c r="O43" s="16"/>
    </row>
    <row r="44" spans="1:19" s="4" customFormat="1" x14ac:dyDescent="0.2">
      <c r="A44" s="16"/>
      <c r="C44" s="16"/>
      <c r="E44" s="16"/>
      <c r="F44" s="16"/>
      <c r="I44" s="16"/>
      <c r="K44" s="16"/>
      <c r="M44" s="19"/>
      <c r="O44" s="16"/>
    </row>
    <row r="45" spans="1:19" s="4" customFormat="1" x14ac:dyDescent="0.2">
      <c r="A45" s="16"/>
      <c r="C45" s="16"/>
      <c r="E45" s="16"/>
      <c r="F45" s="16"/>
      <c r="I45" s="16"/>
      <c r="K45" s="16"/>
      <c r="M45" s="19"/>
      <c r="O45" s="16"/>
    </row>
    <row r="46" spans="1:19" s="4" customFormat="1" x14ac:dyDescent="0.2">
      <c r="A46" s="16"/>
      <c r="C46" s="16"/>
      <c r="E46" s="16"/>
      <c r="F46" s="16"/>
      <c r="I46" s="16"/>
      <c r="K46" s="16"/>
      <c r="M46" s="19"/>
      <c r="O46" s="16"/>
    </row>
    <row r="47" spans="1:19" s="4" customFormat="1" ht="15.75" customHeight="1" x14ac:dyDescent="0.2">
      <c r="A47" s="16"/>
      <c r="C47" s="16"/>
      <c r="E47" s="16"/>
      <c r="F47" s="16"/>
      <c r="I47" s="16"/>
      <c r="K47" s="16"/>
      <c r="M47" s="19"/>
      <c r="O47" s="16"/>
    </row>
    <row r="48" spans="1:19" s="4" customFormat="1" ht="15.75" customHeight="1" x14ac:dyDescent="0.2">
      <c r="A48" s="16"/>
      <c r="C48" s="16"/>
      <c r="E48" s="16"/>
      <c r="F48" s="16"/>
      <c r="I48" s="16"/>
      <c r="K48" s="16"/>
      <c r="M48" s="19"/>
      <c r="O48" s="16"/>
    </row>
    <row r="49" spans="1:19" s="4" customFormat="1" ht="15.75" customHeight="1" x14ac:dyDescent="0.2">
      <c r="A49" s="16"/>
      <c r="C49" s="16"/>
      <c r="E49" s="16"/>
      <c r="F49" s="16"/>
      <c r="I49" s="16"/>
      <c r="K49" s="16"/>
      <c r="M49" s="19"/>
      <c r="O49" s="16"/>
    </row>
    <row r="50" spans="1:19" s="4" customFormat="1" ht="15.75" customHeight="1" x14ac:dyDescent="0.2">
      <c r="A50" s="16"/>
      <c r="C50" s="16"/>
      <c r="E50" s="16"/>
      <c r="F50" s="16"/>
      <c r="I50" s="16"/>
      <c r="K50" s="16"/>
      <c r="M50" s="19"/>
      <c r="O50" s="16"/>
    </row>
    <row r="51" spans="1:19" s="4" customFormat="1" ht="15.75" customHeight="1" x14ac:dyDescent="0.2">
      <c r="A51" s="16"/>
      <c r="C51" s="16"/>
      <c r="E51" s="16"/>
      <c r="F51" s="16"/>
      <c r="I51" s="16"/>
      <c r="K51" s="16"/>
      <c r="M51" s="19"/>
      <c r="O51" s="16"/>
    </row>
    <row r="52" spans="1:19" ht="15.75" customHeight="1" x14ac:dyDescent="0.2">
      <c r="A52" s="16"/>
      <c r="B52" s="4"/>
      <c r="C52" s="16"/>
      <c r="D52" s="4"/>
      <c r="E52" s="16"/>
      <c r="F52" s="16"/>
      <c r="G52" s="4"/>
      <c r="H52" s="4"/>
      <c r="I52" s="16"/>
      <c r="J52" s="4"/>
      <c r="K52" s="16"/>
      <c r="L52" s="4"/>
      <c r="M52" s="19"/>
      <c r="N52" s="4"/>
      <c r="O52" s="16"/>
      <c r="P52" s="4"/>
      <c r="Q52" s="4"/>
      <c r="R52" s="4"/>
      <c r="S52" s="4"/>
    </row>
    <row r="53" spans="1:19" ht="15.75" customHeight="1" x14ac:dyDescent="0.2">
      <c r="A53" s="16"/>
      <c r="B53" s="4"/>
      <c r="C53" s="16"/>
      <c r="D53" s="4"/>
      <c r="E53" s="16"/>
      <c r="F53" s="16"/>
      <c r="G53" s="4"/>
      <c r="H53" s="4"/>
      <c r="I53" s="16"/>
      <c r="J53" s="4"/>
      <c r="K53" s="16"/>
      <c r="L53" s="4"/>
      <c r="M53" s="19"/>
      <c r="N53" s="4"/>
      <c r="O53" s="16"/>
      <c r="P53" s="4"/>
      <c r="Q53" s="4"/>
      <c r="R53" s="4"/>
      <c r="S53" s="4"/>
    </row>
    <row r="54" spans="1:19" ht="15.75" customHeight="1" x14ac:dyDescent="0.2">
      <c r="A54" s="16"/>
      <c r="B54" s="4"/>
      <c r="C54" s="16"/>
      <c r="D54" s="4"/>
      <c r="E54" s="16"/>
      <c r="F54" s="16"/>
      <c r="G54" s="4"/>
      <c r="H54" s="4"/>
      <c r="I54" s="16"/>
      <c r="J54" s="4"/>
      <c r="K54" s="16"/>
      <c r="L54" s="4"/>
      <c r="M54" s="19"/>
      <c r="N54" s="4"/>
      <c r="O54" s="16"/>
      <c r="P54" s="4"/>
      <c r="Q54" s="4"/>
      <c r="R54" s="4"/>
      <c r="S54" s="4"/>
    </row>
    <row r="55" spans="1:19" ht="15.75" customHeight="1" x14ac:dyDescent="0.2">
      <c r="A55" s="16"/>
      <c r="B55" s="4"/>
      <c r="C55" s="16"/>
      <c r="D55" s="4"/>
      <c r="E55" s="16"/>
      <c r="F55" s="16"/>
      <c r="G55" s="4"/>
      <c r="H55" s="4"/>
      <c r="I55" s="16"/>
      <c r="J55" s="4"/>
      <c r="K55" s="16"/>
      <c r="L55" s="4"/>
      <c r="M55" s="19"/>
      <c r="N55" s="4"/>
      <c r="O55" s="16"/>
      <c r="P55" s="4"/>
      <c r="Q55" s="4"/>
      <c r="R55" s="4"/>
      <c r="S55" s="4"/>
    </row>
    <row r="56" spans="1:19" ht="15.75" customHeight="1" x14ac:dyDescent="0.2">
      <c r="A56" s="16"/>
      <c r="B56" s="4"/>
      <c r="C56" s="16"/>
      <c r="D56" s="4"/>
      <c r="E56" s="16"/>
      <c r="F56" s="16"/>
      <c r="G56" s="4"/>
      <c r="H56" s="4"/>
      <c r="I56" s="16"/>
      <c r="J56" s="4"/>
      <c r="K56" s="16"/>
      <c r="L56" s="4"/>
      <c r="M56" s="19"/>
      <c r="N56" s="4"/>
      <c r="O56" s="16"/>
      <c r="P56" s="4"/>
      <c r="Q56" s="4"/>
      <c r="R56" s="4"/>
      <c r="S56" s="4"/>
    </row>
    <row r="57" spans="1:19" ht="15.75" customHeight="1" x14ac:dyDescent="0.2">
      <c r="A57" s="16"/>
      <c r="B57" s="4"/>
      <c r="C57" s="16"/>
      <c r="D57" s="4"/>
      <c r="E57" s="16"/>
      <c r="F57" s="16"/>
      <c r="G57" s="4"/>
      <c r="H57" s="4"/>
      <c r="I57" s="16"/>
      <c r="J57" s="4"/>
      <c r="K57" s="16"/>
      <c r="L57" s="4"/>
      <c r="M57" s="19"/>
      <c r="N57" s="4"/>
      <c r="O57" s="16"/>
      <c r="P57" s="4"/>
      <c r="Q57" s="4"/>
      <c r="R57" s="4"/>
      <c r="S57" s="4"/>
    </row>
    <row r="58" spans="1:19" ht="15.75" customHeight="1" x14ac:dyDescent="0.2">
      <c r="A58" s="16"/>
      <c r="B58" s="4"/>
      <c r="C58" s="16"/>
      <c r="D58" s="4"/>
      <c r="E58" s="16"/>
      <c r="F58" s="16"/>
      <c r="G58" s="4"/>
      <c r="H58" s="4"/>
      <c r="I58" s="16"/>
      <c r="J58" s="4"/>
      <c r="K58" s="16"/>
      <c r="L58" s="4"/>
      <c r="M58" s="19"/>
      <c r="N58" s="4"/>
      <c r="O58" s="16"/>
      <c r="P58" s="4"/>
      <c r="Q58" s="4"/>
      <c r="R58" s="4"/>
      <c r="S58" s="4"/>
    </row>
    <row r="59" spans="1:19" ht="15.75" customHeight="1" x14ac:dyDescent="0.2">
      <c r="A59" s="16"/>
      <c r="B59" s="4"/>
      <c r="C59" s="16"/>
      <c r="D59" s="4"/>
      <c r="E59" s="16"/>
      <c r="F59" s="16"/>
      <c r="G59" s="4"/>
      <c r="H59" s="4"/>
      <c r="I59" s="16"/>
      <c r="J59" s="4"/>
      <c r="K59" s="16"/>
      <c r="L59" s="4"/>
      <c r="M59" s="19"/>
      <c r="N59" s="4"/>
      <c r="O59" s="16"/>
      <c r="P59" s="4"/>
      <c r="Q59" s="4"/>
      <c r="R59" s="4"/>
      <c r="S59" s="4"/>
    </row>
    <row r="60" spans="1:19" ht="15.75" customHeight="1" x14ac:dyDescent="0.2">
      <c r="A60" s="16"/>
      <c r="B60" s="4"/>
      <c r="C60" s="16"/>
      <c r="D60" s="4"/>
      <c r="E60" s="16"/>
      <c r="F60" s="16"/>
      <c r="G60" s="4"/>
      <c r="H60" s="4"/>
      <c r="I60" s="16"/>
      <c r="J60" s="4"/>
      <c r="K60" s="16"/>
      <c r="L60" s="4"/>
      <c r="M60" s="19"/>
      <c r="N60" s="4"/>
      <c r="O60" s="16"/>
      <c r="P60" s="4"/>
      <c r="Q60" s="4"/>
      <c r="R60" s="4"/>
      <c r="S60" s="4"/>
    </row>
    <row r="61" spans="1:19" ht="15.75" customHeight="1" x14ac:dyDescent="0.2">
      <c r="A61" s="16"/>
      <c r="B61" s="4"/>
      <c r="C61" s="16"/>
      <c r="D61" s="4"/>
      <c r="E61" s="16"/>
      <c r="F61" s="16"/>
      <c r="G61" s="4"/>
      <c r="H61" s="4"/>
      <c r="I61" s="16"/>
      <c r="J61" s="4"/>
      <c r="K61" s="16"/>
      <c r="L61" s="4"/>
      <c r="M61" s="19"/>
      <c r="N61" s="4"/>
      <c r="O61" s="16"/>
      <c r="P61" s="4"/>
      <c r="Q61" s="4"/>
      <c r="R61" s="4"/>
      <c r="S61" s="4"/>
    </row>
    <row r="62" spans="1:19" ht="15.75" customHeight="1" x14ac:dyDescent="0.2">
      <c r="A62" s="16"/>
      <c r="B62" s="4"/>
      <c r="C62" s="16"/>
      <c r="D62" s="4"/>
      <c r="E62" s="16"/>
      <c r="F62" s="16"/>
      <c r="G62" s="4"/>
      <c r="H62" s="4"/>
      <c r="I62" s="16"/>
      <c r="J62" s="4"/>
      <c r="K62" s="16"/>
      <c r="L62" s="4"/>
      <c r="M62" s="19"/>
      <c r="N62" s="4"/>
      <c r="O62" s="16"/>
      <c r="P62" s="4"/>
      <c r="Q62" s="4"/>
      <c r="R62" s="4"/>
      <c r="S62" s="4"/>
    </row>
    <row r="63" spans="1:19" ht="15.75" customHeight="1" x14ac:dyDescent="0.2">
      <c r="A63" s="16"/>
      <c r="B63" s="4"/>
      <c r="C63" s="16"/>
      <c r="D63" s="4"/>
      <c r="E63" s="16"/>
      <c r="F63" s="16"/>
      <c r="G63" s="4"/>
      <c r="H63" s="4"/>
      <c r="I63" s="16"/>
      <c r="J63" s="4"/>
      <c r="K63" s="16"/>
      <c r="L63" s="4"/>
      <c r="M63" s="19"/>
      <c r="N63" s="4"/>
      <c r="O63" s="16"/>
      <c r="P63" s="4"/>
      <c r="Q63" s="4"/>
      <c r="R63" s="4"/>
      <c r="S63" s="4"/>
    </row>
    <row r="64" spans="1:19" ht="15.75" customHeight="1" x14ac:dyDescent="0.2">
      <c r="A64" s="16"/>
      <c r="B64" s="4"/>
      <c r="C64" s="16"/>
      <c r="D64" s="4"/>
      <c r="E64" s="16"/>
      <c r="F64" s="16"/>
      <c r="G64" s="4"/>
      <c r="H64" s="4"/>
      <c r="I64" s="16"/>
      <c r="J64" s="4"/>
      <c r="K64" s="16"/>
      <c r="L64" s="4"/>
      <c r="M64" s="19"/>
      <c r="N64" s="4"/>
      <c r="O64" s="16"/>
      <c r="P64" s="4"/>
      <c r="Q64" s="4"/>
      <c r="R64" s="4"/>
      <c r="S64" s="4"/>
    </row>
    <row r="65" spans="1:19" ht="15.75" customHeight="1" x14ac:dyDescent="0.2">
      <c r="A65" s="16"/>
      <c r="B65" s="4"/>
      <c r="C65" s="16"/>
      <c r="D65" s="4"/>
      <c r="E65" s="16"/>
      <c r="F65" s="16"/>
      <c r="G65" s="4"/>
      <c r="H65" s="4"/>
      <c r="I65" s="16"/>
      <c r="J65" s="4"/>
      <c r="K65" s="16"/>
      <c r="L65" s="4"/>
      <c r="M65" s="19"/>
      <c r="N65" s="4"/>
      <c r="O65" s="16"/>
      <c r="P65" s="4"/>
      <c r="Q65" s="4"/>
      <c r="R65" s="4"/>
      <c r="S65" s="4"/>
    </row>
    <row r="66" spans="1:19" ht="15.75" customHeight="1" x14ac:dyDescent="0.2">
      <c r="A66" s="16"/>
      <c r="B66" s="4"/>
      <c r="C66" s="16"/>
      <c r="D66" s="4"/>
      <c r="E66" s="16"/>
      <c r="F66" s="16"/>
      <c r="G66" s="4"/>
      <c r="H66" s="4"/>
      <c r="I66" s="16"/>
      <c r="J66" s="4"/>
      <c r="K66" s="16"/>
      <c r="L66" s="4"/>
      <c r="M66" s="19"/>
      <c r="N66" s="4"/>
      <c r="O66" s="16"/>
      <c r="P66" s="4"/>
      <c r="Q66" s="4"/>
      <c r="R66" s="4"/>
      <c r="S66" s="4"/>
    </row>
    <row r="67" spans="1:19" ht="15.75" customHeight="1" x14ac:dyDescent="0.2">
      <c r="A67" s="16"/>
      <c r="B67" s="4"/>
      <c r="C67" s="16"/>
      <c r="D67" s="4"/>
      <c r="E67" s="16"/>
      <c r="F67" s="16"/>
      <c r="G67" s="4"/>
      <c r="H67" s="4"/>
      <c r="I67" s="16"/>
      <c r="J67" s="4"/>
      <c r="K67" s="16"/>
      <c r="L67" s="4"/>
      <c r="M67" s="19"/>
      <c r="N67" s="4"/>
      <c r="O67" s="16"/>
      <c r="P67" s="4"/>
      <c r="Q67" s="4"/>
      <c r="R67" s="4"/>
      <c r="S67" s="4"/>
    </row>
    <row r="68" spans="1:19" ht="15.75" customHeight="1" x14ac:dyDescent="0.2">
      <c r="A68" s="16"/>
      <c r="B68" s="4"/>
      <c r="C68" s="16"/>
      <c r="D68" s="4"/>
      <c r="E68" s="16"/>
      <c r="F68" s="16"/>
      <c r="G68" s="4"/>
      <c r="H68" s="4"/>
      <c r="I68" s="16"/>
      <c r="J68" s="4"/>
      <c r="K68" s="16"/>
      <c r="L68" s="4"/>
      <c r="M68" s="19"/>
      <c r="N68" s="4"/>
      <c r="O68" s="16"/>
      <c r="P68" s="4"/>
      <c r="Q68" s="4"/>
      <c r="R68" s="4"/>
      <c r="S68" s="4"/>
    </row>
    <row r="69" spans="1:19" ht="15.75" customHeight="1" x14ac:dyDescent="0.2">
      <c r="A69" s="16"/>
      <c r="B69" s="4"/>
      <c r="C69" s="16"/>
      <c r="D69" s="4"/>
      <c r="E69" s="16"/>
      <c r="F69" s="16"/>
      <c r="G69" s="4"/>
      <c r="H69" s="4"/>
      <c r="I69" s="16"/>
      <c r="J69" s="4"/>
      <c r="K69" s="16"/>
      <c r="L69" s="4"/>
      <c r="M69" s="19"/>
      <c r="N69" s="4"/>
      <c r="O69" s="16"/>
      <c r="P69" s="4"/>
      <c r="Q69" s="4"/>
      <c r="R69" s="4"/>
      <c r="S69" s="4"/>
    </row>
    <row r="70" spans="1:19" ht="15.75" customHeight="1" x14ac:dyDescent="0.2">
      <c r="A70" s="16"/>
      <c r="B70" s="4"/>
      <c r="C70" s="16"/>
      <c r="D70" s="4"/>
      <c r="E70" s="16"/>
      <c r="F70" s="16"/>
      <c r="G70" s="4"/>
      <c r="H70" s="4"/>
      <c r="I70" s="16"/>
      <c r="J70" s="4"/>
      <c r="K70" s="16"/>
      <c r="L70" s="4"/>
      <c r="M70" s="19"/>
      <c r="N70" s="4"/>
      <c r="O70" s="16"/>
      <c r="P70" s="4"/>
      <c r="Q70" s="4"/>
      <c r="R70" s="4"/>
      <c r="S70" s="4"/>
    </row>
    <row r="71" spans="1:19" ht="15.75" customHeight="1" x14ac:dyDescent="0.2">
      <c r="A71" s="16"/>
      <c r="B71" s="4"/>
      <c r="C71" s="16"/>
      <c r="D71" s="4"/>
      <c r="E71" s="16"/>
      <c r="F71" s="16"/>
      <c r="G71" s="4"/>
      <c r="H71" s="4"/>
      <c r="I71" s="16"/>
      <c r="J71" s="4"/>
      <c r="K71" s="16"/>
      <c r="L71" s="4"/>
      <c r="M71" s="19"/>
      <c r="N71" s="4"/>
      <c r="O71" s="16"/>
      <c r="P71" s="4"/>
      <c r="Q71" s="4"/>
      <c r="R71" s="4"/>
      <c r="S71" s="4"/>
    </row>
    <row r="72" spans="1:19" ht="15.75" customHeight="1" x14ac:dyDescent="0.2">
      <c r="A72" s="16"/>
      <c r="B72" s="4"/>
      <c r="C72" s="16"/>
      <c r="D72" s="4"/>
      <c r="E72" s="16"/>
      <c r="F72" s="16"/>
      <c r="G72" s="4"/>
      <c r="H72" s="4"/>
      <c r="I72" s="16"/>
      <c r="J72" s="4"/>
      <c r="K72" s="16"/>
      <c r="L72" s="4"/>
      <c r="M72" s="19"/>
      <c r="N72" s="4"/>
      <c r="O72" s="16"/>
      <c r="P72" s="4"/>
      <c r="Q72" s="4"/>
      <c r="R72" s="4"/>
      <c r="S72" s="4"/>
    </row>
    <row r="73" spans="1:19" ht="15.75" customHeight="1" x14ac:dyDescent="0.2">
      <c r="A73" s="16"/>
      <c r="B73" s="4"/>
      <c r="C73" s="16"/>
      <c r="D73" s="4"/>
      <c r="E73" s="16"/>
      <c r="F73" s="16"/>
      <c r="G73" s="4"/>
      <c r="H73" s="4"/>
      <c r="I73" s="16"/>
      <c r="J73" s="4"/>
      <c r="K73" s="16"/>
      <c r="L73" s="4"/>
      <c r="M73" s="19"/>
      <c r="N73" s="4"/>
      <c r="O73" s="16"/>
      <c r="P73" s="4"/>
      <c r="Q73" s="4"/>
      <c r="R73" s="4"/>
      <c r="S73" s="4"/>
    </row>
    <row r="74" spans="1:19" ht="15.75" customHeight="1" x14ac:dyDescent="0.2">
      <c r="A74" s="16"/>
      <c r="B74" s="4"/>
      <c r="C74" s="16"/>
      <c r="D74" s="4"/>
      <c r="E74" s="16"/>
      <c r="F74" s="16"/>
      <c r="G74" s="4"/>
      <c r="H74" s="4"/>
      <c r="I74" s="16"/>
      <c r="J74" s="4"/>
      <c r="K74" s="16"/>
      <c r="L74" s="4"/>
      <c r="M74" s="19"/>
      <c r="N74" s="4"/>
      <c r="O74" s="16"/>
      <c r="P74" s="4"/>
      <c r="Q74" s="4"/>
      <c r="R74" s="4"/>
      <c r="S74" s="4"/>
    </row>
    <row r="75" spans="1:19" ht="15.75" customHeight="1" x14ac:dyDescent="0.2">
      <c r="A75" s="16"/>
      <c r="B75" s="4"/>
      <c r="C75" s="16"/>
      <c r="D75" s="4"/>
      <c r="E75" s="16"/>
      <c r="F75" s="16"/>
      <c r="G75" s="4"/>
      <c r="H75" s="4"/>
      <c r="I75" s="16"/>
      <c r="J75" s="4"/>
      <c r="K75" s="16"/>
      <c r="L75" s="4"/>
      <c r="M75" s="19"/>
      <c r="N75" s="4"/>
      <c r="O75" s="16"/>
      <c r="P75" s="4"/>
      <c r="Q75" s="4"/>
      <c r="R75" s="4"/>
      <c r="S75" s="4"/>
    </row>
    <row r="76" spans="1:19" ht="15.75" customHeight="1" x14ac:dyDescent="0.2">
      <c r="A76" s="16"/>
      <c r="B76" s="4"/>
      <c r="C76" s="16"/>
      <c r="D76" s="4"/>
      <c r="E76" s="16"/>
      <c r="F76" s="16"/>
      <c r="G76" s="4"/>
      <c r="H76" s="4"/>
      <c r="I76" s="16"/>
      <c r="J76" s="4"/>
      <c r="K76" s="16"/>
      <c r="L76" s="4"/>
      <c r="M76" s="19"/>
      <c r="N76" s="4"/>
      <c r="O76" s="16"/>
      <c r="P76" s="4"/>
      <c r="Q76" s="4"/>
      <c r="R76" s="4"/>
      <c r="S76" s="4"/>
    </row>
    <row r="77" spans="1:19" ht="15.75" customHeight="1" x14ac:dyDescent="0.2">
      <c r="A77" s="16"/>
      <c r="B77" s="4"/>
      <c r="C77" s="16"/>
      <c r="D77" s="4"/>
      <c r="E77" s="16"/>
      <c r="F77" s="16"/>
      <c r="G77" s="4"/>
      <c r="H77" s="4"/>
      <c r="I77" s="16"/>
      <c r="J77" s="4"/>
      <c r="K77" s="16"/>
      <c r="L77" s="4"/>
      <c r="M77" s="19"/>
      <c r="N77" s="4"/>
      <c r="O77" s="16"/>
      <c r="P77" s="4"/>
      <c r="Q77" s="4"/>
      <c r="R77" s="4"/>
      <c r="S77" s="4"/>
    </row>
    <row r="78" spans="1:19" ht="15.75" customHeight="1" x14ac:dyDescent="0.2">
      <c r="A78" s="16"/>
      <c r="B78" s="4"/>
      <c r="C78" s="16"/>
      <c r="D78" s="4"/>
      <c r="E78" s="16"/>
      <c r="F78" s="16"/>
      <c r="G78" s="4"/>
      <c r="H78" s="4"/>
      <c r="I78" s="16"/>
      <c r="J78" s="4"/>
      <c r="K78" s="16"/>
      <c r="L78" s="4"/>
      <c r="M78" s="19"/>
      <c r="N78" s="4"/>
      <c r="O78" s="16"/>
      <c r="P78" s="4"/>
      <c r="Q78" s="4"/>
      <c r="R78" s="4"/>
      <c r="S78" s="4"/>
    </row>
    <row r="79" spans="1:19" ht="15.75" customHeight="1" x14ac:dyDescent="0.2">
      <c r="A79" s="16"/>
      <c r="B79" s="4"/>
      <c r="C79" s="16"/>
      <c r="D79" s="4"/>
      <c r="E79" s="16"/>
      <c r="F79" s="16"/>
      <c r="G79" s="4"/>
      <c r="H79" s="4"/>
      <c r="I79" s="16"/>
      <c r="J79" s="4"/>
      <c r="K79" s="16"/>
      <c r="L79" s="4"/>
      <c r="M79" s="19"/>
      <c r="N79" s="4"/>
      <c r="O79" s="16"/>
      <c r="P79" s="4"/>
      <c r="Q79" s="4"/>
      <c r="R79" s="4"/>
      <c r="S79" s="4"/>
    </row>
    <row r="80" spans="1:19" ht="15.75" customHeight="1" x14ac:dyDescent="0.2">
      <c r="A80" s="16"/>
      <c r="B80" s="4"/>
      <c r="C80" s="16"/>
      <c r="D80" s="4"/>
      <c r="E80" s="16"/>
      <c r="F80" s="16"/>
      <c r="G80" s="4"/>
      <c r="H80" s="4"/>
      <c r="I80" s="16"/>
      <c r="J80" s="4"/>
      <c r="K80" s="16"/>
      <c r="L80" s="4"/>
      <c r="M80" s="19"/>
      <c r="N80" s="4"/>
      <c r="O80" s="16"/>
      <c r="P80" s="4"/>
      <c r="Q80" s="4"/>
      <c r="R80" s="4"/>
      <c r="S80" s="4"/>
    </row>
    <row r="81" spans="1:19" ht="15.75" customHeight="1" x14ac:dyDescent="0.2">
      <c r="A81" s="16"/>
      <c r="B81" s="4"/>
      <c r="C81" s="16"/>
      <c r="D81" s="4"/>
      <c r="E81" s="16"/>
      <c r="F81" s="16"/>
      <c r="G81" s="4"/>
      <c r="H81" s="4"/>
      <c r="I81" s="16"/>
      <c r="J81" s="4"/>
      <c r="K81" s="16"/>
      <c r="L81" s="4"/>
      <c r="M81" s="19"/>
      <c r="N81" s="4"/>
      <c r="O81" s="16"/>
      <c r="P81" s="4"/>
      <c r="Q81" s="4"/>
      <c r="R81" s="4"/>
      <c r="S81" s="4"/>
    </row>
    <row r="82" spans="1:19" ht="15.75" customHeight="1" x14ac:dyDescent="0.2">
      <c r="A82" s="16"/>
      <c r="B82" s="4"/>
      <c r="C82" s="16"/>
      <c r="D82" s="4"/>
      <c r="E82" s="16"/>
      <c r="F82" s="16"/>
      <c r="G82" s="4"/>
      <c r="H82" s="4"/>
      <c r="I82" s="16"/>
      <c r="J82" s="4"/>
      <c r="K82" s="16"/>
      <c r="L82" s="4"/>
      <c r="M82" s="19"/>
      <c r="N82" s="4"/>
      <c r="O82" s="16"/>
      <c r="P82" s="4"/>
      <c r="Q82" s="4"/>
      <c r="R82" s="4"/>
      <c r="S82" s="4"/>
    </row>
    <row r="83" spans="1:19" ht="15.75" customHeight="1" x14ac:dyDescent="0.2">
      <c r="A83" s="16"/>
      <c r="B83" s="4"/>
      <c r="C83" s="16"/>
      <c r="D83" s="4"/>
      <c r="E83" s="16"/>
      <c r="F83" s="16"/>
      <c r="G83" s="4"/>
      <c r="H83" s="4"/>
      <c r="I83" s="16"/>
      <c r="J83" s="4"/>
      <c r="K83" s="16"/>
      <c r="L83" s="4"/>
      <c r="M83" s="19"/>
      <c r="N83" s="4"/>
      <c r="O83" s="16"/>
      <c r="P83" s="4"/>
      <c r="Q83" s="4"/>
      <c r="R83" s="4"/>
      <c r="S83" s="4"/>
    </row>
    <row r="84" spans="1:19" ht="15.75" customHeight="1" x14ac:dyDescent="0.2">
      <c r="A84" s="16"/>
      <c r="B84" s="4"/>
      <c r="C84" s="16"/>
      <c r="D84" s="4"/>
      <c r="E84" s="16"/>
      <c r="F84" s="16"/>
      <c r="G84" s="4"/>
      <c r="H84" s="4"/>
      <c r="I84" s="16"/>
      <c r="J84" s="4"/>
      <c r="K84" s="16"/>
      <c r="L84" s="4"/>
      <c r="M84" s="19"/>
      <c r="N84" s="4"/>
      <c r="O84" s="16"/>
      <c r="P84" s="4"/>
      <c r="Q84" s="4"/>
      <c r="R84" s="4"/>
      <c r="S84" s="4"/>
    </row>
    <row r="85" spans="1:19" ht="15.75" customHeight="1" x14ac:dyDescent="0.2">
      <c r="A85" s="16"/>
      <c r="B85" s="4"/>
      <c r="C85" s="16"/>
      <c r="D85" s="4"/>
      <c r="E85" s="16"/>
      <c r="F85" s="16"/>
      <c r="G85" s="4"/>
      <c r="H85" s="4"/>
      <c r="I85" s="16"/>
      <c r="J85" s="4"/>
      <c r="K85" s="16"/>
      <c r="L85" s="4"/>
      <c r="M85" s="19"/>
      <c r="N85" s="4"/>
      <c r="O85" s="16"/>
      <c r="P85" s="4"/>
      <c r="Q85" s="4"/>
      <c r="R85" s="4"/>
      <c r="S85" s="4"/>
    </row>
    <row r="86" spans="1:19" ht="15.75" customHeight="1" x14ac:dyDescent="0.2">
      <c r="A86" s="16"/>
      <c r="B86" s="4"/>
      <c r="C86" s="16"/>
      <c r="D86" s="4"/>
      <c r="E86" s="16"/>
      <c r="F86" s="16"/>
      <c r="G86" s="4"/>
      <c r="H86" s="4"/>
      <c r="I86" s="16"/>
      <c r="J86" s="4"/>
      <c r="K86" s="16"/>
      <c r="L86" s="4"/>
      <c r="M86" s="19"/>
      <c r="N86" s="4"/>
      <c r="O86" s="16"/>
      <c r="P86" s="4"/>
      <c r="Q86" s="4"/>
      <c r="R86" s="4"/>
      <c r="S86" s="4"/>
    </row>
    <row r="87" spans="1:19" ht="15.75" customHeight="1" x14ac:dyDescent="0.2">
      <c r="A87" s="16"/>
      <c r="B87" s="4"/>
      <c r="C87" s="16"/>
      <c r="D87" s="4"/>
      <c r="E87" s="16"/>
      <c r="F87" s="16"/>
      <c r="G87" s="4"/>
      <c r="H87" s="4"/>
      <c r="I87" s="16"/>
      <c r="J87" s="4"/>
      <c r="K87" s="16"/>
      <c r="L87" s="4"/>
      <c r="M87" s="19"/>
      <c r="N87" s="4"/>
      <c r="O87" s="16"/>
      <c r="P87" s="4"/>
      <c r="Q87" s="4"/>
      <c r="R87" s="4"/>
      <c r="S87" s="4"/>
    </row>
    <row r="88" spans="1:19" ht="15.75" customHeight="1" x14ac:dyDescent="0.2">
      <c r="A88" s="16"/>
      <c r="B88" s="4"/>
      <c r="C88" s="16"/>
      <c r="D88" s="4"/>
      <c r="E88" s="16"/>
      <c r="F88" s="16"/>
      <c r="G88" s="4"/>
      <c r="H88" s="4"/>
      <c r="I88" s="16"/>
      <c r="J88" s="4"/>
      <c r="K88" s="16"/>
      <c r="L88" s="4"/>
      <c r="M88" s="19"/>
      <c r="N88" s="4"/>
      <c r="O88" s="16"/>
      <c r="P88" s="4"/>
      <c r="Q88" s="4"/>
      <c r="R88" s="4"/>
      <c r="S88" s="4"/>
    </row>
    <row r="89" spans="1:19" ht="15.75" customHeight="1" x14ac:dyDescent="0.2">
      <c r="A89" s="16"/>
      <c r="B89" s="4"/>
      <c r="C89" s="16"/>
      <c r="D89" s="4"/>
      <c r="E89" s="16"/>
      <c r="F89" s="16"/>
      <c r="G89" s="4"/>
      <c r="H89" s="4"/>
      <c r="I89" s="16"/>
      <c r="J89" s="4"/>
      <c r="K89" s="16"/>
      <c r="L89" s="4"/>
      <c r="M89" s="19"/>
      <c r="N89" s="4"/>
      <c r="O89" s="16"/>
      <c r="P89" s="4"/>
      <c r="Q89" s="4"/>
      <c r="R89" s="4"/>
      <c r="S89" s="4"/>
    </row>
    <row r="90" spans="1:19" ht="15.75" customHeight="1" x14ac:dyDescent="0.2">
      <c r="A90" s="16"/>
      <c r="B90" s="4"/>
      <c r="C90" s="16"/>
      <c r="D90" s="4"/>
      <c r="E90" s="16"/>
      <c r="F90" s="16"/>
      <c r="G90" s="4"/>
      <c r="H90" s="4"/>
      <c r="I90" s="16"/>
      <c r="J90" s="4"/>
      <c r="K90" s="16"/>
      <c r="L90" s="4"/>
      <c r="M90" s="19"/>
      <c r="N90" s="4"/>
      <c r="O90" s="16"/>
      <c r="P90" s="4"/>
      <c r="Q90" s="4"/>
      <c r="R90" s="4"/>
      <c r="S90" s="4"/>
    </row>
    <row r="91" spans="1:19" ht="15.75" customHeight="1" x14ac:dyDescent="0.2">
      <c r="A91" s="16"/>
      <c r="B91" s="4"/>
      <c r="C91" s="16"/>
      <c r="D91" s="4"/>
      <c r="E91" s="16"/>
      <c r="F91" s="16"/>
      <c r="G91" s="4"/>
      <c r="H91" s="4"/>
      <c r="I91" s="16"/>
      <c r="J91" s="4"/>
      <c r="K91" s="16"/>
      <c r="L91" s="4"/>
      <c r="M91" s="19"/>
      <c r="N91" s="4"/>
      <c r="O91" s="16"/>
      <c r="P91" s="4"/>
      <c r="Q91" s="4"/>
      <c r="R91" s="4"/>
      <c r="S91" s="4"/>
    </row>
    <row r="92" spans="1:19" ht="15.75" customHeight="1" x14ac:dyDescent="0.2">
      <c r="A92" s="16"/>
      <c r="B92" s="4"/>
      <c r="C92" s="16"/>
      <c r="D92" s="4"/>
      <c r="E92" s="16"/>
      <c r="F92" s="16"/>
      <c r="G92" s="4"/>
      <c r="H92" s="4"/>
      <c r="I92" s="16"/>
      <c r="J92" s="4"/>
      <c r="K92" s="16"/>
      <c r="L92" s="4"/>
      <c r="M92" s="19"/>
      <c r="N92" s="4"/>
      <c r="O92" s="16"/>
      <c r="P92" s="4"/>
      <c r="Q92" s="4"/>
      <c r="R92" s="4"/>
      <c r="S92" s="4"/>
    </row>
    <row r="93" spans="1:19" ht="15.75" customHeight="1" x14ac:dyDescent="0.2">
      <c r="A93" s="16"/>
      <c r="B93" s="4"/>
      <c r="C93" s="16"/>
      <c r="D93" s="4"/>
      <c r="E93" s="16"/>
      <c r="F93" s="16"/>
      <c r="G93" s="4"/>
      <c r="H93" s="4"/>
      <c r="I93" s="16"/>
      <c r="J93" s="4"/>
      <c r="K93" s="16"/>
      <c r="L93" s="4"/>
      <c r="M93" s="19"/>
      <c r="N93" s="4"/>
      <c r="O93" s="16"/>
      <c r="P93" s="4"/>
      <c r="Q93" s="4"/>
      <c r="R93" s="4"/>
      <c r="S93" s="4"/>
    </row>
    <row r="94" spans="1:19" ht="15.75" customHeight="1" x14ac:dyDescent="0.2">
      <c r="A94" s="16"/>
      <c r="B94" s="4"/>
      <c r="C94" s="16"/>
      <c r="D94" s="4"/>
      <c r="E94" s="16"/>
      <c r="F94" s="16"/>
      <c r="G94" s="4"/>
      <c r="H94" s="4"/>
      <c r="I94" s="16"/>
      <c r="J94" s="4"/>
      <c r="K94" s="16"/>
      <c r="L94" s="4"/>
      <c r="M94" s="19"/>
      <c r="N94" s="4"/>
      <c r="O94" s="16"/>
      <c r="P94" s="4"/>
      <c r="Q94" s="4"/>
      <c r="R94" s="4"/>
      <c r="S94" s="4"/>
    </row>
    <row r="95" spans="1:19" ht="15.75" customHeight="1" x14ac:dyDescent="0.2">
      <c r="A95" s="16"/>
      <c r="B95" s="4"/>
      <c r="C95" s="16"/>
      <c r="D95" s="4"/>
      <c r="E95" s="16"/>
      <c r="F95" s="16"/>
      <c r="G95" s="4"/>
      <c r="H95" s="4"/>
      <c r="I95" s="16"/>
      <c r="J95" s="4"/>
      <c r="K95" s="16"/>
      <c r="L95" s="4"/>
      <c r="M95" s="19"/>
      <c r="N95" s="4"/>
      <c r="O95" s="16"/>
      <c r="P95" s="4"/>
      <c r="Q95" s="4"/>
      <c r="R95" s="4"/>
      <c r="S95" s="4"/>
    </row>
    <row r="96" spans="1:19" ht="15.75" customHeight="1" x14ac:dyDescent="0.2">
      <c r="A96" s="16"/>
      <c r="B96" s="4"/>
      <c r="C96" s="16"/>
      <c r="D96" s="4"/>
      <c r="E96" s="16"/>
      <c r="F96" s="16"/>
      <c r="G96" s="4"/>
      <c r="H96" s="4"/>
      <c r="I96" s="16"/>
      <c r="J96" s="4"/>
      <c r="K96" s="16"/>
      <c r="L96" s="4"/>
      <c r="M96" s="19"/>
      <c r="N96" s="4"/>
      <c r="O96" s="16"/>
      <c r="P96" s="4"/>
      <c r="Q96" s="4"/>
      <c r="R96" s="4"/>
      <c r="S96" s="4"/>
    </row>
    <row r="97" spans="1:19" ht="15.75" customHeight="1" x14ac:dyDescent="0.2">
      <c r="A97" s="16"/>
      <c r="B97" s="4"/>
      <c r="C97" s="16"/>
      <c r="D97" s="4"/>
      <c r="E97" s="16"/>
      <c r="F97" s="16"/>
      <c r="G97" s="4"/>
      <c r="H97" s="4"/>
      <c r="I97" s="16"/>
      <c r="J97" s="4"/>
      <c r="K97" s="16"/>
      <c r="L97" s="4"/>
      <c r="M97" s="19"/>
      <c r="N97" s="4"/>
      <c r="O97" s="16"/>
      <c r="P97" s="4"/>
      <c r="Q97" s="4"/>
      <c r="R97" s="4"/>
      <c r="S97" s="4"/>
    </row>
    <row r="98" spans="1:19" ht="15.75" customHeight="1" x14ac:dyDescent="0.2">
      <c r="A98" s="16"/>
      <c r="B98" s="4"/>
      <c r="C98" s="16"/>
      <c r="D98" s="4"/>
      <c r="E98" s="16"/>
      <c r="F98" s="16"/>
      <c r="G98" s="4"/>
      <c r="H98" s="4"/>
      <c r="I98" s="16"/>
      <c r="J98" s="4"/>
      <c r="K98" s="16"/>
      <c r="L98" s="4"/>
      <c r="M98" s="19"/>
      <c r="N98" s="4"/>
      <c r="O98" s="16"/>
      <c r="P98" s="4"/>
      <c r="Q98" s="4"/>
      <c r="R98" s="4"/>
      <c r="S98" s="4"/>
    </row>
    <row r="99" spans="1:19" ht="15.75" customHeight="1" x14ac:dyDescent="0.2">
      <c r="A99" s="16"/>
      <c r="B99" s="4"/>
      <c r="C99" s="16"/>
      <c r="D99" s="4"/>
      <c r="E99" s="16"/>
      <c r="F99" s="16"/>
      <c r="G99" s="4"/>
      <c r="H99" s="4"/>
      <c r="I99" s="16"/>
      <c r="J99" s="4"/>
      <c r="K99" s="16"/>
      <c r="L99" s="4"/>
      <c r="M99" s="19"/>
      <c r="N99" s="4"/>
      <c r="O99" s="16"/>
      <c r="P99" s="4"/>
      <c r="Q99" s="4"/>
      <c r="R99" s="4"/>
      <c r="S99" s="4"/>
    </row>
    <row r="100" spans="1:19" ht="15.75" customHeight="1" x14ac:dyDescent="0.2">
      <c r="A100" s="16"/>
      <c r="B100" s="4"/>
      <c r="C100" s="16"/>
      <c r="D100" s="4"/>
      <c r="E100" s="16"/>
      <c r="F100" s="16"/>
      <c r="G100" s="4"/>
      <c r="H100" s="4"/>
      <c r="I100" s="16"/>
      <c r="J100" s="4"/>
      <c r="K100" s="16"/>
      <c r="L100" s="4"/>
      <c r="M100" s="19"/>
      <c r="N100" s="4"/>
      <c r="O100" s="16"/>
      <c r="P100" s="4"/>
      <c r="Q100" s="4"/>
      <c r="R100" s="4"/>
      <c r="S100" s="4"/>
    </row>
    <row r="101" spans="1:19" ht="15.75" customHeight="1" x14ac:dyDescent="0.2">
      <c r="A101" s="16"/>
      <c r="B101" s="4"/>
      <c r="C101" s="16"/>
      <c r="D101" s="4"/>
      <c r="E101" s="16"/>
      <c r="F101" s="16"/>
      <c r="G101" s="4"/>
      <c r="H101" s="4"/>
      <c r="I101" s="16"/>
      <c r="J101" s="4"/>
      <c r="K101" s="16"/>
      <c r="L101" s="4"/>
      <c r="M101" s="19"/>
      <c r="N101" s="4"/>
      <c r="O101" s="16"/>
      <c r="P101" s="4"/>
      <c r="Q101" s="4"/>
      <c r="R101" s="4"/>
      <c r="S101" s="4"/>
    </row>
    <row r="102" spans="1:19" ht="15.75" customHeight="1" x14ac:dyDescent="0.2">
      <c r="A102" s="16"/>
      <c r="B102" s="4"/>
      <c r="C102" s="16"/>
      <c r="D102" s="4"/>
      <c r="E102" s="16"/>
      <c r="F102" s="16"/>
      <c r="G102" s="4"/>
      <c r="H102" s="4"/>
      <c r="I102" s="16"/>
      <c r="J102" s="4"/>
      <c r="K102" s="16"/>
      <c r="L102" s="4"/>
      <c r="M102" s="19"/>
      <c r="N102" s="4"/>
      <c r="O102" s="16"/>
      <c r="P102" s="4"/>
      <c r="Q102" s="4"/>
      <c r="R102" s="4"/>
      <c r="S102" s="4"/>
    </row>
    <row r="103" spans="1:19" ht="15.75" customHeight="1" x14ac:dyDescent="0.2">
      <c r="A103" s="16"/>
      <c r="B103" s="4"/>
      <c r="C103" s="16"/>
      <c r="D103" s="4"/>
      <c r="E103" s="16"/>
      <c r="F103" s="16"/>
      <c r="G103" s="4"/>
      <c r="H103" s="4"/>
      <c r="I103" s="16"/>
      <c r="J103" s="4"/>
      <c r="K103" s="16"/>
      <c r="L103" s="4"/>
      <c r="M103" s="19"/>
      <c r="N103" s="4"/>
      <c r="O103" s="16"/>
      <c r="P103" s="4"/>
      <c r="Q103" s="4"/>
      <c r="R103" s="4"/>
      <c r="S103" s="4"/>
    </row>
    <row r="104" spans="1:19" ht="15.75" customHeight="1" x14ac:dyDescent="0.2">
      <c r="A104" s="16"/>
      <c r="B104" s="4"/>
      <c r="C104" s="16"/>
      <c r="D104" s="4"/>
      <c r="E104" s="16"/>
      <c r="F104" s="16"/>
      <c r="G104" s="4"/>
      <c r="H104" s="4"/>
      <c r="I104" s="16"/>
      <c r="J104" s="4"/>
      <c r="K104" s="16"/>
      <c r="L104" s="4"/>
      <c r="M104" s="19"/>
      <c r="N104" s="4"/>
      <c r="O104" s="16"/>
      <c r="P104" s="4"/>
      <c r="Q104" s="4"/>
      <c r="R104" s="4"/>
      <c r="S104" s="4"/>
    </row>
    <row r="105" spans="1:19" ht="15.75" customHeight="1" x14ac:dyDescent="0.2">
      <c r="A105" s="16"/>
      <c r="B105" s="4"/>
      <c r="C105" s="16"/>
      <c r="D105" s="4"/>
      <c r="E105" s="16"/>
      <c r="F105" s="16"/>
      <c r="G105" s="4"/>
      <c r="H105" s="4"/>
      <c r="I105" s="16"/>
      <c r="J105" s="4"/>
      <c r="K105" s="16"/>
      <c r="L105" s="4"/>
      <c r="M105" s="19"/>
      <c r="N105" s="4"/>
      <c r="O105" s="16"/>
      <c r="P105" s="4"/>
      <c r="Q105" s="4"/>
      <c r="R105" s="4"/>
      <c r="S105" s="4"/>
    </row>
    <row r="106" spans="1:19" ht="15.75" customHeight="1" x14ac:dyDescent="0.2">
      <c r="A106" s="16"/>
      <c r="B106" s="4"/>
      <c r="C106" s="16"/>
      <c r="D106" s="4"/>
      <c r="E106" s="16"/>
      <c r="F106" s="16"/>
      <c r="G106" s="4"/>
      <c r="H106" s="4"/>
      <c r="I106" s="16"/>
      <c r="J106" s="4"/>
      <c r="K106" s="16"/>
      <c r="L106" s="4"/>
      <c r="M106" s="19"/>
      <c r="N106" s="4"/>
      <c r="O106" s="16"/>
      <c r="P106" s="4"/>
      <c r="Q106" s="4"/>
      <c r="R106" s="4"/>
      <c r="S106" s="4"/>
    </row>
    <row r="107" spans="1:19" ht="15.75" customHeight="1" x14ac:dyDescent="0.2">
      <c r="A107" s="16"/>
      <c r="B107" s="4"/>
      <c r="C107" s="16"/>
      <c r="D107" s="4"/>
      <c r="E107" s="16"/>
      <c r="F107" s="16"/>
      <c r="G107" s="4"/>
      <c r="H107" s="4"/>
      <c r="I107" s="16"/>
      <c r="J107" s="4"/>
      <c r="K107" s="16"/>
      <c r="L107" s="4"/>
      <c r="M107" s="19"/>
      <c r="N107" s="4"/>
      <c r="O107" s="16"/>
      <c r="P107" s="4"/>
      <c r="Q107" s="4"/>
      <c r="R107" s="4"/>
      <c r="S107" s="4"/>
    </row>
    <row r="108" spans="1:19" ht="15.75" customHeight="1" x14ac:dyDescent="0.2">
      <c r="A108" s="16"/>
      <c r="B108" s="4"/>
      <c r="C108" s="16"/>
      <c r="D108" s="4"/>
      <c r="E108" s="16"/>
      <c r="F108" s="16"/>
      <c r="G108" s="4"/>
      <c r="H108" s="4"/>
      <c r="I108" s="16"/>
      <c r="J108" s="4"/>
      <c r="K108" s="16"/>
      <c r="L108" s="4"/>
      <c r="M108" s="19"/>
      <c r="N108" s="4"/>
      <c r="O108" s="16"/>
      <c r="P108" s="4"/>
      <c r="Q108" s="4"/>
      <c r="R108" s="4"/>
      <c r="S108" s="4"/>
    </row>
    <row r="109" spans="1:19" ht="15.75" customHeight="1" x14ac:dyDescent="0.2">
      <c r="A109" s="16"/>
      <c r="B109" s="4"/>
      <c r="C109" s="16"/>
      <c r="D109" s="4"/>
      <c r="E109" s="16"/>
      <c r="F109" s="16"/>
      <c r="G109" s="4"/>
      <c r="H109" s="4"/>
      <c r="I109" s="16"/>
      <c r="J109" s="4"/>
      <c r="K109" s="16"/>
      <c r="L109" s="4"/>
      <c r="M109" s="19"/>
      <c r="N109" s="4"/>
      <c r="O109" s="16"/>
      <c r="P109" s="4"/>
      <c r="Q109" s="4"/>
      <c r="R109" s="4"/>
      <c r="S109" s="4"/>
    </row>
    <row r="110" spans="1:19" ht="15.75" customHeight="1" x14ac:dyDescent="0.2">
      <c r="A110" s="16"/>
      <c r="B110" s="4"/>
      <c r="C110" s="16"/>
      <c r="D110" s="4"/>
      <c r="E110" s="16"/>
      <c r="F110" s="16"/>
      <c r="G110" s="4"/>
      <c r="H110" s="4"/>
      <c r="I110" s="16"/>
      <c r="J110" s="4"/>
      <c r="K110" s="16"/>
      <c r="L110" s="4"/>
      <c r="M110" s="19"/>
      <c r="N110" s="4"/>
      <c r="O110" s="16"/>
      <c r="P110" s="4"/>
      <c r="Q110" s="4"/>
      <c r="R110" s="4"/>
      <c r="S110" s="4"/>
    </row>
    <row r="111" spans="1:19" ht="15.75" customHeight="1" x14ac:dyDescent="0.2">
      <c r="A111" s="16"/>
      <c r="B111" s="4"/>
      <c r="C111" s="16"/>
      <c r="D111" s="4"/>
      <c r="E111" s="16"/>
      <c r="F111" s="16"/>
      <c r="G111" s="4"/>
      <c r="H111" s="4"/>
      <c r="I111" s="16"/>
      <c r="J111" s="4"/>
      <c r="K111" s="16"/>
      <c r="L111" s="4"/>
      <c r="M111" s="19"/>
      <c r="N111" s="4"/>
      <c r="O111" s="16"/>
      <c r="P111" s="4"/>
      <c r="Q111" s="4"/>
      <c r="R111" s="4"/>
      <c r="S111" s="4"/>
    </row>
    <row r="112" spans="1:19" ht="15.75" customHeight="1" x14ac:dyDescent="0.2">
      <c r="A112" s="16"/>
      <c r="B112" s="4"/>
      <c r="C112" s="16"/>
      <c r="D112" s="4"/>
      <c r="E112" s="16"/>
      <c r="F112" s="16"/>
      <c r="G112" s="4"/>
      <c r="H112" s="4"/>
      <c r="I112" s="16"/>
      <c r="J112" s="4"/>
      <c r="K112" s="16"/>
      <c r="L112" s="4"/>
      <c r="M112" s="19"/>
      <c r="N112" s="4"/>
      <c r="O112" s="16"/>
      <c r="P112" s="4"/>
      <c r="Q112" s="4"/>
      <c r="R112" s="4"/>
      <c r="S112" s="4"/>
    </row>
    <row r="113" spans="1:19" ht="15.75" customHeight="1" x14ac:dyDescent="0.2">
      <c r="A113" s="16"/>
      <c r="B113" s="4"/>
      <c r="C113" s="16"/>
      <c r="D113" s="4"/>
      <c r="E113" s="16"/>
      <c r="F113" s="16"/>
      <c r="G113" s="4"/>
      <c r="H113" s="4"/>
      <c r="I113" s="16"/>
      <c r="J113" s="4"/>
      <c r="K113" s="16"/>
      <c r="L113" s="4"/>
      <c r="M113" s="19"/>
      <c r="N113" s="4"/>
      <c r="O113" s="16"/>
      <c r="P113" s="4"/>
      <c r="Q113" s="4"/>
      <c r="R113" s="4"/>
      <c r="S113" s="4"/>
    </row>
    <row r="114" spans="1:19" ht="15.75" customHeight="1" x14ac:dyDescent="0.2">
      <c r="A114" s="16"/>
      <c r="B114" s="4"/>
      <c r="C114" s="16"/>
      <c r="D114" s="4"/>
      <c r="E114" s="16"/>
      <c r="F114" s="16"/>
      <c r="G114" s="4"/>
      <c r="H114" s="4"/>
      <c r="I114" s="16"/>
      <c r="J114" s="4"/>
      <c r="K114" s="16"/>
      <c r="L114" s="4"/>
      <c r="M114" s="19"/>
      <c r="N114" s="4"/>
      <c r="O114" s="16"/>
      <c r="P114" s="4"/>
      <c r="Q114" s="4"/>
      <c r="R114" s="4"/>
      <c r="S114" s="4"/>
    </row>
    <row r="115" spans="1:19" ht="15.75" customHeight="1" x14ac:dyDescent="0.2">
      <c r="A115" s="16"/>
      <c r="B115" s="4"/>
      <c r="C115" s="16"/>
      <c r="D115" s="4"/>
      <c r="E115" s="16"/>
      <c r="F115" s="16"/>
      <c r="G115" s="4"/>
      <c r="H115" s="4"/>
      <c r="I115" s="16"/>
      <c r="J115" s="4"/>
      <c r="K115" s="16"/>
      <c r="L115" s="4"/>
      <c r="M115" s="19"/>
      <c r="N115" s="4"/>
      <c r="O115" s="16"/>
      <c r="P115" s="4"/>
      <c r="Q115" s="4"/>
      <c r="R115" s="4"/>
      <c r="S115" s="4"/>
    </row>
    <row r="116" spans="1:19" ht="15.75" customHeight="1" x14ac:dyDescent="0.2">
      <c r="A116" s="16"/>
      <c r="B116" s="4"/>
      <c r="C116" s="16"/>
      <c r="D116" s="4"/>
      <c r="E116" s="16"/>
      <c r="F116" s="16"/>
      <c r="G116" s="4"/>
      <c r="H116" s="4"/>
      <c r="I116" s="16"/>
      <c r="J116" s="4"/>
      <c r="K116" s="16"/>
      <c r="L116" s="4"/>
      <c r="M116" s="19"/>
      <c r="N116" s="4"/>
      <c r="O116" s="16"/>
      <c r="P116" s="4"/>
      <c r="Q116" s="4"/>
      <c r="R116" s="4"/>
      <c r="S116" s="4"/>
    </row>
    <row r="117" spans="1:19" ht="15.75" customHeight="1" x14ac:dyDescent="0.2">
      <c r="A117" s="16"/>
      <c r="B117" s="4"/>
      <c r="C117" s="16"/>
      <c r="D117" s="4"/>
      <c r="E117" s="16"/>
      <c r="F117" s="16"/>
      <c r="G117" s="4"/>
      <c r="H117" s="4"/>
      <c r="I117" s="16"/>
      <c r="J117" s="4"/>
      <c r="K117" s="16"/>
      <c r="L117" s="4"/>
      <c r="M117" s="19"/>
      <c r="N117" s="4"/>
      <c r="O117" s="16"/>
      <c r="P117" s="4"/>
      <c r="Q117" s="4"/>
      <c r="R117" s="4"/>
      <c r="S117" s="4"/>
    </row>
    <row r="118" spans="1:19" ht="15.75" customHeight="1" x14ac:dyDescent="0.2">
      <c r="A118" s="16"/>
      <c r="B118" s="4"/>
      <c r="C118" s="16"/>
      <c r="D118" s="4"/>
      <c r="E118" s="16"/>
      <c r="F118" s="16"/>
      <c r="G118" s="4"/>
      <c r="H118" s="4"/>
      <c r="I118" s="16"/>
      <c r="J118" s="4"/>
      <c r="K118" s="16"/>
      <c r="L118" s="4"/>
      <c r="M118" s="19"/>
      <c r="N118" s="4"/>
      <c r="O118" s="16"/>
      <c r="P118" s="4"/>
      <c r="Q118" s="4"/>
      <c r="R118" s="4"/>
      <c r="S118" s="4"/>
    </row>
    <row r="119" spans="1:19" ht="15.75" customHeight="1" x14ac:dyDescent="0.2">
      <c r="A119" s="16"/>
      <c r="B119" s="4"/>
      <c r="C119" s="16"/>
      <c r="D119" s="4"/>
      <c r="E119" s="16"/>
      <c r="F119" s="16"/>
      <c r="G119" s="4"/>
      <c r="H119" s="4"/>
      <c r="I119" s="16"/>
      <c r="J119" s="4"/>
      <c r="K119" s="16"/>
      <c r="L119" s="4"/>
      <c r="M119" s="19"/>
      <c r="N119" s="4"/>
      <c r="O119" s="16"/>
      <c r="P119" s="4"/>
      <c r="Q119" s="4"/>
      <c r="R119" s="4"/>
      <c r="S119" s="4"/>
    </row>
    <row r="120" spans="1:19" ht="15.75" customHeight="1" x14ac:dyDescent="0.2">
      <c r="A120" s="16"/>
      <c r="B120" s="4"/>
      <c r="C120" s="16"/>
      <c r="D120" s="4"/>
      <c r="E120" s="16"/>
      <c r="F120" s="16"/>
      <c r="G120" s="4"/>
      <c r="H120" s="4"/>
      <c r="I120" s="16"/>
      <c r="J120" s="4"/>
      <c r="K120" s="16"/>
      <c r="L120" s="4"/>
      <c r="M120" s="19"/>
      <c r="N120" s="4"/>
      <c r="O120" s="16"/>
      <c r="P120" s="4"/>
      <c r="Q120" s="4"/>
      <c r="R120" s="4"/>
      <c r="S120" s="4"/>
    </row>
    <row r="121" spans="1:19" ht="15.75" customHeight="1" x14ac:dyDescent="0.2">
      <c r="A121" s="16"/>
      <c r="B121" s="4"/>
      <c r="C121" s="16"/>
      <c r="D121" s="4"/>
      <c r="E121" s="16"/>
      <c r="F121" s="16"/>
      <c r="G121" s="4"/>
      <c r="H121" s="4"/>
      <c r="I121" s="16"/>
      <c r="J121" s="4"/>
      <c r="K121" s="16"/>
      <c r="L121" s="4"/>
      <c r="M121" s="19"/>
      <c r="N121" s="4"/>
      <c r="O121" s="16"/>
      <c r="P121" s="4"/>
      <c r="Q121" s="4"/>
      <c r="R121" s="4"/>
      <c r="S121" s="4"/>
    </row>
    <row r="122" spans="1:19" ht="15.75" customHeight="1" x14ac:dyDescent="0.2">
      <c r="A122" s="16"/>
      <c r="B122" s="4"/>
      <c r="C122" s="16"/>
      <c r="D122" s="4"/>
      <c r="E122" s="16"/>
      <c r="F122" s="16"/>
      <c r="G122" s="4"/>
      <c r="H122" s="4"/>
      <c r="I122" s="16"/>
      <c r="J122" s="4"/>
      <c r="K122" s="16"/>
      <c r="L122" s="4"/>
      <c r="M122" s="19"/>
      <c r="N122" s="4"/>
      <c r="O122" s="16"/>
      <c r="P122" s="4"/>
      <c r="Q122" s="4"/>
      <c r="R122" s="4"/>
      <c r="S122" s="4"/>
    </row>
    <row r="123" spans="1:19" ht="15.75" customHeight="1" x14ac:dyDescent="0.2">
      <c r="A123" s="16"/>
      <c r="B123" s="4"/>
      <c r="C123" s="16"/>
      <c r="D123" s="4"/>
      <c r="E123" s="16"/>
      <c r="F123" s="16"/>
      <c r="G123" s="4"/>
      <c r="H123" s="4"/>
      <c r="I123" s="16"/>
      <c r="J123" s="4"/>
      <c r="K123" s="16"/>
      <c r="L123" s="4"/>
      <c r="M123" s="19"/>
      <c r="N123" s="4"/>
      <c r="O123" s="16"/>
      <c r="P123" s="4"/>
      <c r="Q123" s="4"/>
      <c r="R123" s="4"/>
      <c r="S123" s="4"/>
    </row>
    <row r="124" spans="1:19" ht="15.75" customHeight="1" x14ac:dyDescent="0.2">
      <c r="A124" s="16"/>
      <c r="B124" s="4"/>
      <c r="C124" s="16"/>
      <c r="D124" s="4"/>
      <c r="E124" s="16"/>
      <c r="F124" s="16"/>
      <c r="G124" s="4"/>
      <c r="H124" s="4"/>
      <c r="I124" s="16"/>
      <c r="J124" s="4"/>
      <c r="K124" s="16"/>
      <c r="L124" s="4"/>
      <c r="M124" s="19"/>
      <c r="N124" s="4"/>
      <c r="O124" s="16"/>
      <c r="P124" s="4"/>
      <c r="Q124" s="4"/>
      <c r="R124" s="4"/>
      <c r="S124" s="4"/>
    </row>
    <row r="125" spans="1:19" ht="15.75" customHeight="1" x14ac:dyDescent="0.2">
      <c r="A125" s="16"/>
      <c r="B125" s="4"/>
      <c r="C125" s="16"/>
      <c r="D125" s="4"/>
      <c r="E125" s="16"/>
      <c r="F125" s="16"/>
      <c r="G125" s="4"/>
      <c r="H125" s="4"/>
      <c r="I125" s="16"/>
      <c r="J125" s="4"/>
      <c r="K125" s="16"/>
      <c r="L125" s="4"/>
      <c r="M125" s="19"/>
      <c r="N125" s="4"/>
      <c r="O125" s="16"/>
      <c r="P125" s="4"/>
      <c r="Q125" s="4"/>
      <c r="R125" s="4"/>
      <c r="S125" s="4"/>
    </row>
    <row r="126" spans="1:19" ht="15.75" customHeight="1" x14ac:dyDescent="0.2">
      <c r="A126" s="16"/>
      <c r="B126" s="4"/>
      <c r="C126" s="16"/>
      <c r="D126" s="4"/>
      <c r="E126" s="16"/>
      <c r="F126" s="16"/>
      <c r="G126" s="4"/>
      <c r="H126" s="4"/>
      <c r="I126" s="16"/>
      <c r="J126" s="4"/>
      <c r="K126" s="16"/>
      <c r="L126" s="4"/>
      <c r="M126" s="19"/>
      <c r="N126" s="4"/>
      <c r="O126" s="16"/>
      <c r="P126" s="4"/>
      <c r="Q126" s="4"/>
      <c r="R126" s="4"/>
      <c r="S126" s="4"/>
    </row>
    <row r="127" spans="1:19" ht="15.75" customHeight="1" x14ac:dyDescent="0.2">
      <c r="A127" s="16"/>
      <c r="B127" s="4"/>
      <c r="C127" s="16"/>
      <c r="D127" s="4"/>
      <c r="E127" s="16"/>
      <c r="F127" s="16"/>
      <c r="G127" s="4"/>
      <c r="H127" s="4"/>
      <c r="I127" s="16"/>
      <c r="J127" s="4"/>
      <c r="K127" s="16"/>
      <c r="L127" s="4"/>
      <c r="M127" s="19"/>
      <c r="N127" s="4"/>
      <c r="O127" s="16"/>
      <c r="P127" s="4"/>
      <c r="Q127" s="4"/>
      <c r="R127" s="4"/>
      <c r="S127" s="4"/>
    </row>
    <row r="128" spans="1:19" ht="15.75" customHeight="1" x14ac:dyDescent="0.2">
      <c r="A128" s="16"/>
      <c r="B128" s="4"/>
      <c r="C128" s="16"/>
      <c r="D128" s="4"/>
      <c r="E128" s="16"/>
      <c r="F128" s="16"/>
      <c r="G128" s="4"/>
      <c r="H128" s="4"/>
      <c r="I128" s="16"/>
      <c r="J128" s="4"/>
      <c r="K128" s="16"/>
      <c r="L128" s="4"/>
      <c r="M128" s="19"/>
      <c r="N128" s="4"/>
      <c r="O128" s="16"/>
      <c r="P128" s="4"/>
      <c r="Q128" s="4"/>
      <c r="R128" s="4"/>
      <c r="S128" s="4"/>
    </row>
    <row r="129" spans="1:19" ht="15.75" customHeight="1" x14ac:dyDescent="0.2">
      <c r="A129" s="16"/>
      <c r="B129" s="4"/>
      <c r="C129" s="16"/>
      <c r="D129" s="4"/>
      <c r="E129" s="16"/>
      <c r="F129" s="16"/>
      <c r="G129" s="4"/>
      <c r="H129" s="4"/>
      <c r="I129" s="16"/>
      <c r="J129" s="4"/>
      <c r="K129" s="16"/>
      <c r="L129" s="4"/>
      <c r="M129" s="19"/>
      <c r="N129" s="4"/>
      <c r="O129" s="16"/>
      <c r="P129" s="4"/>
      <c r="Q129" s="4"/>
      <c r="R129" s="4"/>
      <c r="S129" s="4"/>
    </row>
    <row r="130" spans="1:19" ht="15.75" customHeight="1" x14ac:dyDescent="0.2">
      <c r="A130" s="16"/>
      <c r="B130" s="4"/>
      <c r="C130" s="16"/>
      <c r="D130" s="4"/>
      <c r="E130" s="16"/>
      <c r="F130" s="16"/>
      <c r="G130" s="4"/>
      <c r="H130" s="4"/>
      <c r="I130" s="16"/>
      <c r="J130" s="4"/>
      <c r="K130" s="16"/>
      <c r="L130" s="4"/>
      <c r="M130" s="19"/>
      <c r="N130" s="4"/>
      <c r="O130" s="16"/>
      <c r="P130" s="4"/>
      <c r="Q130" s="4"/>
      <c r="R130" s="4"/>
      <c r="S130" s="4"/>
    </row>
    <row r="131" spans="1:19" ht="15.75" customHeight="1" x14ac:dyDescent="0.2">
      <c r="A131" s="16"/>
      <c r="B131" s="4"/>
      <c r="C131" s="16"/>
      <c r="D131" s="4"/>
      <c r="E131" s="16"/>
      <c r="F131" s="16"/>
      <c r="G131" s="4"/>
      <c r="H131" s="4"/>
      <c r="I131" s="16"/>
      <c r="J131" s="4"/>
      <c r="K131" s="16"/>
      <c r="L131" s="4"/>
      <c r="M131" s="19"/>
      <c r="N131" s="4"/>
      <c r="O131" s="16"/>
      <c r="P131" s="4"/>
      <c r="Q131" s="4"/>
      <c r="R131" s="4"/>
      <c r="S131" s="4"/>
    </row>
    <row r="132" spans="1:19" ht="15.75" customHeight="1" x14ac:dyDescent="0.2">
      <c r="A132" s="16"/>
      <c r="B132" s="4"/>
      <c r="C132" s="16"/>
      <c r="D132" s="4"/>
      <c r="E132" s="16"/>
      <c r="F132" s="16"/>
      <c r="G132" s="4"/>
      <c r="H132" s="4"/>
      <c r="I132" s="16"/>
      <c r="J132" s="4"/>
      <c r="K132" s="16"/>
      <c r="L132" s="4"/>
      <c r="M132" s="19"/>
      <c r="N132" s="4"/>
      <c r="O132" s="16"/>
      <c r="P132" s="4"/>
      <c r="Q132" s="4"/>
      <c r="R132" s="4"/>
      <c r="S132" s="4"/>
    </row>
    <row r="133" spans="1:19" ht="15.75" customHeight="1" x14ac:dyDescent="0.2">
      <c r="A133" s="16"/>
      <c r="B133" s="4"/>
      <c r="C133" s="16"/>
      <c r="D133" s="4"/>
      <c r="E133" s="16"/>
      <c r="F133" s="16"/>
      <c r="G133" s="4"/>
      <c r="H133" s="4"/>
      <c r="I133" s="16"/>
      <c r="J133" s="4"/>
      <c r="K133" s="16"/>
      <c r="L133" s="4"/>
      <c r="M133" s="19"/>
      <c r="N133" s="4"/>
      <c r="O133" s="16"/>
      <c r="P133" s="4"/>
      <c r="Q133" s="4"/>
      <c r="R133" s="4"/>
      <c r="S133" s="4"/>
    </row>
    <row r="134" spans="1:19" ht="15.75" customHeight="1" x14ac:dyDescent="0.2">
      <c r="A134" s="16"/>
      <c r="B134" s="4"/>
      <c r="C134" s="16"/>
      <c r="D134" s="4"/>
      <c r="E134" s="16"/>
      <c r="F134" s="16"/>
      <c r="G134" s="4"/>
      <c r="H134" s="4"/>
      <c r="I134" s="16"/>
      <c r="J134" s="4"/>
      <c r="K134" s="16"/>
      <c r="L134" s="4"/>
      <c r="M134" s="19"/>
      <c r="N134" s="4"/>
      <c r="O134" s="16"/>
      <c r="P134" s="4"/>
      <c r="Q134" s="4"/>
      <c r="R134" s="4"/>
      <c r="S134" s="4"/>
    </row>
    <row r="135" spans="1:19" ht="15.75" customHeight="1" x14ac:dyDescent="0.2">
      <c r="A135" s="16"/>
      <c r="B135" s="4"/>
      <c r="C135" s="16"/>
      <c r="D135" s="4"/>
      <c r="E135" s="16"/>
      <c r="F135" s="16"/>
      <c r="G135" s="4"/>
      <c r="H135" s="4"/>
      <c r="I135" s="16"/>
      <c r="J135" s="4"/>
      <c r="K135" s="16"/>
      <c r="L135" s="4"/>
      <c r="M135" s="19"/>
      <c r="N135" s="4"/>
      <c r="O135" s="16"/>
      <c r="P135" s="4"/>
      <c r="Q135" s="4"/>
      <c r="R135" s="4"/>
      <c r="S135" s="4"/>
    </row>
    <row r="136" spans="1:19" ht="15.75" customHeight="1" x14ac:dyDescent="0.2">
      <c r="A136" s="16"/>
      <c r="B136" s="4"/>
      <c r="C136" s="16"/>
      <c r="D136" s="4"/>
      <c r="E136" s="16"/>
      <c r="F136" s="16"/>
      <c r="G136" s="4"/>
      <c r="H136" s="4"/>
      <c r="I136" s="16"/>
      <c r="J136" s="4"/>
      <c r="K136" s="16"/>
      <c r="L136" s="4"/>
      <c r="M136" s="19"/>
      <c r="N136" s="4"/>
      <c r="O136" s="16"/>
      <c r="P136" s="4"/>
      <c r="Q136" s="4"/>
      <c r="R136" s="4"/>
      <c r="S136" s="4"/>
    </row>
    <row r="137" spans="1:19" ht="15.75" customHeight="1" x14ac:dyDescent="0.2">
      <c r="A137" s="16"/>
      <c r="B137" s="4"/>
      <c r="C137" s="16"/>
      <c r="D137" s="4"/>
      <c r="E137" s="16"/>
      <c r="F137" s="16"/>
      <c r="G137" s="4"/>
      <c r="H137" s="4"/>
      <c r="I137" s="16"/>
      <c r="J137" s="4"/>
      <c r="K137" s="16"/>
      <c r="L137" s="4"/>
      <c r="M137" s="19"/>
      <c r="N137" s="4"/>
      <c r="O137" s="16"/>
      <c r="P137" s="4"/>
      <c r="Q137" s="4"/>
      <c r="R137" s="4"/>
      <c r="S137" s="4"/>
    </row>
    <row r="138" spans="1:19" ht="15.75" customHeight="1" x14ac:dyDescent="0.2">
      <c r="A138" s="16"/>
      <c r="B138" s="4"/>
      <c r="C138" s="16"/>
      <c r="D138" s="4"/>
      <c r="E138" s="16"/>
      <c r="F138" s="16"/>
      <c r="G138" s="4"/>
      <c r="H138" s="4"/>
      <c r="I138" s="16"/>
      <c r="J138" s="4"/>
      <c r="K138" s="16"/>
      <c r="L138" s="4"/>
      <c r="M138" s="19"/>
      <c r="N138" s="4"/>
      <c r="O138" s="16"/>
      <c r="P138" s="4"/>
      <c r="Q138" s="4"/>
      <c r="R138" s="4"/>
      <c r="S138" s="4"/>
    </row>
    <row r="139" spans="1:19" ht="15.75" customHeight="1" x14ac:dyDescent="0.2">
      <c r="A139" s="16"/>
      <c r="B139" s="4"/>
      <c r="C139" s="16"/>
      <c r="D139" s="4"/>
      <c r="E139" s="16"/>
      <c r="F139" s="16"/>
      <c r="G139" s="4"/>
      <c r="H139" s="4"/>
      <c r="I139" s="16"/>
      <c r="J139" s="4"/>
      <c r="K139" s="16"/>
      <c r="L139" s="4"/>
      <c r="M139" s="19"/>
      <c r="N139" s="4"/>
      <c r="O139" s="16"/>
      <c r="P139" s="4"/>
      <c r="Q139" s="4"/>
      <c r="R139" s="4"/>
      <c r="S139" s="4"/>
    </row>
    <row r="140" spans="1:19" ht="15.75" customHeight="1" x14ac:dyDescent="0.2">
      <c r="A140" s="16"/>
      <c r="B140" s="4"/>
      <c r="C140" s="16"/>
      <c r="D140" s="4"/>
      <c r="E140" s="16"/>
      <c r="F140" s="16"/>
      <c r="G140" s="4"/>
      <c r="H140" s="4"/>
      <c r="I140" s="16"/>
      <c r="J140" s="4"/>
      <c r="K140" s="16"/>
      <c r="L140" s="4"/>
      <c r="M140" s="19"/>
      <c r="N140" s="4"/>
      <c r="O140" s="16"/>
      <c r="P140" s="4"/>
      <c r="Q140" s="4"/>
      <c r="R140" s="4"/>
      <c r="S140" s="4"/>
    </row>
    <row r="141" spans="1:19" ht="15.75" customHeight="1" x14ac:dyDescent="0.2">
      <c r="A141" s="16"/>
      <c r="B141" s="4"/>
      <c r="C141" s="16"/>
      <c r="D141" s="4"/>
      <c r="E141" s="16"/>
      <c r="F141" s="16"/>
      <c r="G141" s="4"/>
      <c r="H141" s="4"/>
      <c r="I141" s="16"/>
      <c r="J141" s="4"/>
      <c r="K141" s="16"/>
      <c r="L141" s="4"/>
      <c r="M141" s="19"/>
      <c r="N141" s="4"/>
      <c r="O141" s="16"/>
      <c r="P141" s="4"/>
      <c r="Q141" s="4"/>
      <c r="R141" s="4"/>
      <c r="S141" s="4"/>
    </row>
    <row r="142" spans="1:19" ht="15.75" customHeight="1" x14ac:dyDescent="0.2">
      <c r="A142" s="16"/>
      <c r="B142" s="4"/>
      <c r="C142" s="16"/>
      <c r="D142" s="4"/>
      <c r="E142" s="16"/>
      <c r="F142" s="16"/>
      <c r="G142" s="4"/>
      <c r="H142" s="4"/>
      <c r="I142" s="16"/>
      <c r="J142" s="4"/>
      <c r="K142" s="16"/>
      <c r="L142" s="4"/>
      <c r="M142" s="19"/>
      <c r="N142" s="4"/>
      <c r="O142" s="16"/>
      <c r="P142" s="4"/>
      <c r="Q142" s="4"/>
      <c r="R142" s="4"/>
      <c r="S142" s="4"/>
    </row>
    <row r="143" spans="1:19" ht="15.75" customHeight="1" x14ac:dyDescent="0.2">
      <c r="A143" s="16"/>
      <c r="B143" s="4"/>
      <c r="C143" s="16"/>
      <c r="D143" s="4"/>
      <c r="E143" s="16"/>
      <c r="F143" s="16"/>
      <c r="G143" s="4"/>
      <c r="H143" s="4"/>
      <c r="I143" s="16"/>
      <c r="J143" s="4"/>
      <c r="K143" s="16"/>
      <c r="L143" s="4"/>
      <c r="M143" s="19"/>
      <c r="N143" s="4"/>
      <c r="O143" s="16"/>
      <c r="P143" s="4"/>
      <c r="Q143" s="4"/>
      <c r="R143" s="4"/>
      <c r="S143" s="4"/>
    </row>
    <row r="144" spans="1:19" ht="15.75" customHeight="1" x14ac:dyDescent="0.2">
      <c r="A144" s="16"/>
      <c r="B144" s="4"/>
      <c r="C144" s="16"/>
      <c r="D144" s="4"/>
      <c r="E144" s="16"/>
      <c r="F144" s="16"/>
      <c r="G144" s="4"/>
      <c r="H144" s="4"/>
      <c r="I144" s="16"/>
      <c r="J144" s="4"/>
      <c r="K144" s="16"/>
      <c r="L144" s="4"/>
      <c r="M144" s="19"/>
      <c r="N144" s="4"/>
      <c r="O144" s="16"/>
      <c r="P144" s="4"/>
      <c r="Q144" s="4"/>
      <c r="R144" s="4"/>
      <c r="S144" s="4"/>
    </row>
    <row r="145" spans="1:19" ht="15.75" customHeight="1" x14ac:dyDescent="0.2">
      <c r="A145" s="16"/>
      <c r="B145" s="4"/>
      <c r="C145" s="16"/>
      <c r="D145" s="4"/>
      <c r="E145" s="16"/>
      <c r="F145" s="16"/>
      <c r="G145" s="4"/>
      <c r="H145" s="4"/>
      <c r="I145" s="16"/>
      <c r="J145" s="4"/>
      <c r="K145" s="16"/>
      <c r="L145" s="4"/>
      <c r="M145" s="19"/>
      <c r="N145" s="4"/>
      <c r="O145" s="16"/>
      <c r="P145" s="4"/>
      <c r="Q145" s="4"/>
      <c r="R145" s="4"/>
      <c r="S145" s="4"/>
    </row>
    <row r="146" spans="1:19" ht="15.75" customHeight="1" x14ac:dyDescent="0.2">
      <c r="A146" s="16"/>
      <c r="B146" s="4"/>
      <c r="C146" s="16"/>
      <c r="D146" s="4"/>
      <c r="E146" s="16"/>
      <c r="F146" s="16"/>
      <c r="G146" s="4"/>
      <c r="H146" s="4"/>
      <c r="I146" s="16"/>
      <c r="J146" s="4"/>
      <c r="K146" s="16"/>
      <c r="L146" s="4"/>
      <c r="M146" s="19"/>
      <c r="N146" s="4"/>
      <c r="O146" s="16"/>
      <c r="P146" s="4"/>
      <c r="Q146" s="4"/>
      <c r="R146" s="4"/>
      <c r="S146" s="4"/>
    </row>
    <row r="147" spans="1:19" ht="15.75" customHeight="1" x14ac:dyDescent="0.2">
      <c r="A147" s="16"/>
      <c r="B147" s="4"/>
      <c r="C147" s="16"/>
      <c r="D147" s="4"/>
      <c r="E147" s="16"/>
      <c r="F147" s="16"/>
      <c r="G147" s="4"/>
      <c r="H147" s="4"/>
      <c r="I147" s="16"/>
      <c r="J147" s="4"/>
      <c r="K147" s="16"/>
      <c r="L147" s="4"/>
      <c r="M147" s="19"/>
      <c r="N147" s="4"/>
      <c r="O147" s="16"/>
      <c r="P147" s="4"/>
      <c r="Q147" s="4"/>
      <c r="R147" s="4"/>
      <c r="S147" s="4"/>
    </row>
    <row r="148" spans="1:19" ht="15.75" customHeight="1" x14ac:dyDescent="0.2">
      <c r="A148" s="16"/>
      <c r="B148" s="4"/>
      <c r="C148" s="16"/>
      <c r="D148" s="4"/>
      <c r="E148" s="16"/>
      <c r="F148" s="16"/>
      <c r="G148" s="4"/>
      <c r="H148" s="4"/>
      <c r="I148" s="16"/>
      <c r="J148" s="4"/>
      <c r="K148" s="16"/>
      <c r="L148" s="4"/>
      <c r="M148" s="19"/>
      <c r="N148" s="4"/>
      <c r="O148" s="16"/>
      <c r="P148" s="4"/>
      <c r="Q148" s="4"/>
      <c r="R148" s="4"/>
      <c r="S148" s="4"/>
    </row>
    <row r="149" spans="1:19" ht="15.75" customHeight="1" x14ac:dyDescent="0.2">
      <c r="A149" s="16"/>
      <c r="B149" s="4"/>
      <c r="C149" s="16"/>
      <c r="D149" s="4"/>
      <c r="E149" s="16"/>
      <c r="F149" s="16"/>
      <c r="G149" s="4"/>
      <c r="H149" s="4"/>
      <c r="I149" s="16"/>
      <c r="J149" s="4"/>
      <c r="K149" s="16"/>
      <c r="L149" s="4"/>
      <c r="M149" s="19"/>
      <c r="N149" s="4"/>
      <c r="O149" s="16"/>
      <c r="P149" s="4"/>
      <c r="Q149" s="4"/>
      <c r="R149" s="4"/>
      <c r="S149" s="4"/>
    </row>
    <row r="150" spans="1:19" ht="15.75" customHeight="1" x14ac:dyDescent="0.2">
      <c r="A150" s="16"/>
      <c r="B150" s="4"/>
      <c r="C150" s="16"/>
      <c r="D150" s="4"/>
      <c r="E150" s="16"/>
      <c r="F150" s="16"/>
      <c r="G150" s="4"/>
      <c r="H150" s="4"/>
      <c r="I150" s="16"/>
      <c r="J150" s="4"/>
      <c r="K150" s="16"/>
      <c r="L150" s="4"/>
      <c r="M150" s="19"/>
      <c r="N150" s="4"/>
      <c r="O150" s="16"/>
      <c r="P150" s="4"/>
      <c r="Q150" s="4"/>
      <c r="R150" s="4"/>
      <c r="S150" s="4"/>
    </row>
    <row r="151" spans="1:19" ht="15.75" customHeight="1" x14ac:dyDescent="0.2">
      <c r="A151" s="16"/>
      <c r="B151" s="4"/>
      <c r="C151" s="16"/>
      <c r="D151" s="4"/>
      <c r="E151" s="16"/>
      <c r="F151" s="16"/>
      <c r="G151" s="4"/>
      <c r="H151" s="4"/>
      <c r="I151" s="16"/>
      <c r="J151" s="4"/>
      <c r="K151" s="16"/>
      <c r="L151" s="4"/>
      <c r="M151" s="19"/>
      <c r="N151" s="4"/>
      <c r="O151" s="16"/>
      <c r="P151" s="4"/>
      <c r="Q151" s="4"/>
      <c r="R151" s="4"/>
      <c r="S151" s="4"/>
    </row>
    <row r="152" spans="1:19" ht="15.75" customHeight="1" x14ac:dyDescent="0.2">
      <c r="A152" s="16"/>
      <c r="B152" s="4"/>
      <c r="C152" s="16"/>
      <c r="D152" s="4"/>
      <c r="E152" s="16"/>
      <c r="F152" s="16"/>
      <c r="G152" s="4"/>
      <c r="H152" s="4"/>
      <c r="I152" s="16"/>
      <c r="J152" s="4"/>
      <c r="K152" s="16"/>
      <c r="L152" s="4"/>
      <c r="M152" s="19"/>
      <c r="N152" s="4"/>
      <c r="O152" s="16"/>
      <c r="P152" s="4"/>
      <c r="Q152" s="4"/>
      <c r="R152" s="4"/>
      <c r="S152" s="4"/>
    </row>
    <row r="153" spans="1:19" ht="15.75" customHeight="1" x14ac:dyDescent="0.2">
      <c r="A153" s="16"/>
      <c r="B153" s="4"/>
      <c r="C153" s="16"/>
      <c r="D153" s="4"/>
      <c r="E153" s="16"/>
      <c r="F153" s="16"/>
      <c r="G153" s="4"/>
      <c r="H153" s="4"/>
      <c r="I153" s="16"/>
      <c r="J153" s="4"/>
      <c r="K153" s="16"/>
      <c r="L153" s="4"/>
      <c r="M153" s="19"/>
      <c r="N153" s="4"/>
      <c r="O153" s="16"/>
      <c r="P153" s="4"/>
      <c r="Q153" s="4"/>
      <c r="R153" s="4"/>
      <c r="S153" s="4"/>
    </row>
    <row r="154" spans="1:19" ht="15.75" customHeight="1" x14ac:dyDescent="0.2">
      <c r="A154" s="16"/>
      <c r="B154" s="4"/>
      <c r="C154" s="16"/>
      <c r="D154" s="4"/>
      <c r="E154" s="16"/>
      <c r="F154" s="16"/>
      <c r="G154" s="4"/>
      <c r="H154" s="4"/>
      <c r="I154" s="16"/>
      <c r="J154" s="4"/>
      <c r="K154" s="16"/>
      <c r="L154" s="4"/>
      <c r="M154" s="19"/>
      <c r="N154" s="4"/>
      <c r="O154" s="16"/>
      <c r="P154" s="4"/>
      <c r="Q154" s="4"/>
      <c r="R154" s="4"/>
      <c r="S154" s="4"/>
    </row>
    <row r="155" spans="1:19" ht="15.75" customHeight="1" x14ac:dyDescent="0.2">
      <c r="A155" s="16"/>
      <c r="B155" s="4"/>
      <c r="C155" s="16"/>
      <c r="D155" s="4"/>
      <c r="E155" s="16"/>
      <c r="F155" s="16"/>
      <c r="G155" s="4"/>
      <c r="H155" s="4"/>
      <c r="I155" s="16"/>
      <c r="J155" s="4"/>
      <c r="K155" s="16"/>
      <c r="L155" s="4"/>
      <c r="M155" s="19"/>
      <c r="N155" s="4"/>
      <c r="O155" s="16"/>
      <c r="P155" s="4"/>
      <c r="Q155" s="4"/>
      <c r="R155" s="4"/>
      <c r="S155" s="4"/>
    </row>
    <row r="156" spans="1:19" ht="15.75" customHeight="1" x14ac:dyDescent="0.2">
      <c r="A156" s="16"/>
      <c r="B156" s="4"/>
      <c r="C156" s="16"/>
      <c r="D156" s="4"/>
      <c r="E156" s="16"/>
      <c r="F156" s="16"/>
      <c r="G156" s="4"/>
      <c r="H156" s="4"/>
      <c r="I156" s="16"/>
      <c r="J156" s="4"/>
      <c r="K156" s="16"/>
      <c r="L156" s="4"/>
      <c r="M156" s="19"/>
      <c r="N156" s="4"/>
      <c r="O156" s="16"/>
      <c r="P156" s="4"/>
      <c r="Q156" s="4"/>
      <c r="R156" s="4"/>
      <c r="S156" s="4"/>
    </row>
    <row r="157" spans="1:19" ht="15.75" customHeight="1" x14ac:dyDescent="0.2">
      <c r="A157" s="16"/>
      <c r="B157" s="4"/>
      <c r="C157" s="16"/>
      <c r="D157" s="4"/>
      <c r="E157" s="16"/>
      <c r="F157" s="16"/>
      <c r="G157" s="4"/>
      <c r="H157" s="4"/>
      <c r="I157" s="16"/>
      <c r="J157" s="4"/>
      <c r="K157" s="16"/>
      <c r="L157" s="4"/>
      <c r="M157" s="19"/>
      <c r="N157" s="4"/>
      <c r="O157" s="16"/>
      <c r="P157" s="4"/>
      <c r="Q157" s="4"/>
      <c r="R157" s="4"/>
      <c r="S157" s="4"/>
    </row>
    <row r="158" spans="1:19" ht="15.75" customHeight="1" x14ac:dyDescent="0.2">
      <c r="A158" s="16"/>
      <c r="B158" s="4"/>
      <c r="C158" s="16"/>
      <c r="D158" s="4"/>
      <c r="E158" s="16"/>
      <c r="F158" s="16"/>
      <c r="G158" s="4"/>
      <c r="H158" s="4"/>
      <c r="I158" s="16"/>
      <c r="J158" s="4"/>
      <c r="K158" s="16"/>
      <c r="L158" s="4"/>
      <c r="M158" s="19"/>
      <c r="N158" s="4"/>
      <c r="O158" s="16"/>
      <c r="P158" s="4"/>
      <c r="Q158" s="4"/>
      <c r="R158" s="4"/>
      <c r="S158" s="4"/>
    </row>
    <row r="159" spans="1:19" ht="15.75" customHeight="1" x14ac:dyDescent="0.2">
      <c r="A159" s="16"/>
      <c r="B159" s="4"/>
      <c r="C159" s="16"/>
      <c r="D159" s="4"/>
      <c r="E159" s="16"/>
      <c r="F159" s="16"/>
      <c r="G159" s="4"/>
      <c r="H159" s="4"/>
      <c r="I159" s="16"/>
      <c r="J159" s="4"/>
      <c r="K159" s="16"/>
      <c r="L159" s="4"/>
      <c r="M159" s="19"/>
      <c r="N159" s="4"/>
      <c r="O159" s="16"/>
      <c r="P159" s="4"/>
      <c r="Q159" s="4"/>
      <c r="R159" s="4"/>
      <c r="S159" s="4"/>
    </row>
    <row r="160" spans="1:19" ht="15.75" customHeight="1" x14ac:dyDescent="0.2">
      <c r="A160" s="16"/>
      <c r="B160" s="4"/>
      <c r="C160" s="16"/>
      <c r="D160" s="4"/>
      <c r="E160" s="16"/>
      <c r="F160" s="16"/>
      <c r="G160" s="4"/>
      <c r="H160" s="4"/>
      <c r="I160" s="16"/>
      <c r="J160" s="4"/>
      <c r="K160" s="16"/>
      <c r="L160" s="4"/>
      <c r="M160" s="19"/>
      <c r="N160" s="4"/>
      <c r="O160" s="16"/>
      <c r="P160" s="4"/>
      <c r="Q160" s="4"/>
      <c r="R160" s="4"/>
      <c r="S160" s="4"/>
    </row>
    <row r="161" spans="1:19" ht="15.75" customHeight="1" x14ac:dyDescent="0.2">
      <c r="A161" s="16"/>
      <c r="B161" s="4"/>
      <c r="C161" s="16"/>
      <c r="D161" s="4"/>
      <c r="E161" s="16"/>
      <c r="F161" s="16"/>
      <c r="G161" s="4"/>
      <c r="H161" s="4"/>
      <c r="I161" s="16"/>
      <c r="J161" s="4"/>
      <c r="K161" s="16"/>
      <c r="L161" s="4"/>
      <c r="M161" s="19"/>
      <c r="N161" s="4"/>
      <c r="O161" s="16"/>
      <c r="P161" s="4"/>
      <c r="Q161" s="4"/>
      <c r="R161" s="4"/>
      <c r="S161" s="4"/>
    </row>
    <row r="162" spans="1:19" ht="15.75" customHeight="1" x14ac:dyDescent="0.2">
      <c r="A162" s="16"/>
      <c r="B162" s="4"/>
      <c r="C162" s="16"/>
      <c r="D162" s="4"/>
      <c r="E162" s="16"/>
      <c r="F162" s="16"/>
      <c r="G162" s="4"/>
      <c r="H162" s="4"/>
      <c r="I162" s="16"/>
      <c r="J162" s="4"/>
      <c r="K162" s="16"/>
      <c r="L162" s="4"/>
      <c r="M162" s="19"/>
      <c r="N162" s="4"/>
      <c r="O162" s="16"/>
      <c r="P162" s="4"/>
      <c r="Q162" s="4"/>
      <c r="R162" s="4"/>
      <c r="S162" s="4"/>
    </row>
    <row r="163" spans="1:19" ht="15.75" customHeight="1" x14ac:dyDescent="0.2">
      <c r="A163" s="16"/>
      <c r="B163" s="4"/>
      <c r="C163" s="16"/>
      <c r="D163" s="4"/>
      <c r="E163" s="16"/>
      <c r="F163" s="16"/>
      <c r="G163" s="4"/>
      <c r="H163" s="4"/>
      <c r="I163" s="16"/>
      <c r="J163" s="4"/>
      <c r="K163" s="16"/>
      <c r="L163" s="4"/>
      <c r="M163" s="19"/>
      <c r="N163" s="4"/>
      <c r="O163" s="16"/>
      <c r="P163" s="4"/>
      <c r="Q163" s="4"/>
      <c r="R163" s="4"/>
      <c r="S163" s="4"/>
    </row>
    <row r="164" spans="1:19" ht="15.75" customHeight="1" x14ac:dyDescent="0.2">
      <c r="A164" s="16"/>
      <c r="B164" s="4"/>
      <c r="C164" s="16"/>
      <c r="D164" s="4"/>
      <c r="E164" s="16"/>
      <c r="F164" s="16"/>
      <c r="G164" s="4"/>
      <c r="H164" s="4"/>
      <c r="I164" s="16"/>
      <c r="J164" s="4"/>
      <c r="K164" s="16"/>
      <c r="L164" s="4"/>
      <c r="M164" s="19"/>
      <c r="N164" s="4"/>
      <c r="O164" s="16"/>
      <c r="P164" s="4"/>
      <c r="Q164" s="4"/>
      <c r="R164" s="4"/>
      <c r="S164" s="4"/>
    </row>
    <row r="165" spans="1:19" ht="15.75" customHeight="1" x14ac:dyDescent="0.2">
      <c r="A165" s="16"/>
      <c r="B165" s="4"/>
      <c r="C165" s="16"/>
      <c r="D165" s="4"/>
      <c r="E165" s="16"/>
      <c r="F165" s="16"/>
      <c r="G165" s="4"/>
      <c r="H165" s="4"/>
      <c r="I165" s="16"/>
      <c r="J165" s="4"/>
      <c r="K165" s="16"/>
      <c r="L165" s="4"/>
      <c r="M165" s="19"/>
      <c r="N165" s="4"/>
      <c r="O165" s="16"/>
      <c r="P165" s="4"/>
      <c r="Q165" s="4"/>
      <c r="R165" s="4"/>
      <c r="S165" s="4"/>
    </row>
    <row r="166" spans="1:19" ht="15.75" customHeight="1" x14ac:dyDescent="0.2">
      <c r="A166" s="16"/>
      <c r="B166" s="4"/>
      <c r="C166" s="16"/>
      <c r="D166" s="4"/>
      <c r="E166" s="16"/>
      <c r="F166" s="16"/>
      <c r="G166" s="4"/>
      <c r="H166" s="4"/>
      <c r="I166" s="16"/>
      <c r="J166" s="4"/>
      <c r="K166" s="16"/>
      <c r="L166" s="4"/>
      <c r="M166" s="19"/>
      <c r="N166" s="4"/>
      <c r="O166" s="16"/>
      <c r="P166" s="4"/>
      <c r="Q166" s="4"/>
      <c r="R166" s="4"/>
      <c r="S166" s="4"/>
    </row>
    <row r="167" spans="1:19" ht="15.75" customHeight="1" x14ac:dyDescent="0.2">
      <c r="A167" s="16"/>
      <c r="B167" s="4"/>
      <c r="C167" s="16"/>
      <c r="D167" s="4"/>
      <c r="E167" s="16"/>
      <c r="F167" s="16"/>
      <c r="G167" s="4"/>
      <c r="H167" s="4"/>
      <c r="I167" s="16"/>
      <c r="J167" s="4"/>
      <c r="K167" s="16"/>
      <c r="L167" s="4"/>
      <c r="M167" s="19"/>
      <c r="N167" s="4"/>
      <c r="O167" s="16"/>
      <c r="P167" s="4"/>
      <c r="Q167" s="4"/>
      <c r="R167" s="4"/>
      <c r="S167" s="4"/>
    </row>
    <row r="168" spans="1:19" ht="15.75" customHeight="1" x14ac:dyDescent="0.2">
      <c r="A168" s="16"/>
      <c r="B168" s="4"/>
      <c r="C168" s="16"/>
      <c r="D168" s="4"/>
      <c r="E168" s="16"/>
      <c r="F168" s="16"/>
      <c r="G168" s="4"/>
      <c r="H168" s="4"/>
      <c r="I168" s="16"/>
      <c r="J168" s="4"/>
      <c r="K168" s="16"/>
      <c r="L168" s="4"/>
      <c r="M168" s="19"/>
      <c r="N168" s="4"/>
      <c r="O168" s="16"/>
      <c r="P168" s="4"/>
      <c r="Q168" s="4"/>
      <c r="R168" s="4"/>
      <c r="S168" s="4"/>
    </row>
    <row r="169" spans="1:19" ht="15.75" customHeight="1" x14ac:dyDescent="0.2">
      <c r="A169" s="16"/>
      <c r="B169" s="4"/>
      <c r="C169" s="16"/>
      <c r="D169" s="4"/>
      <c r="E169" s="16"/>
      <c r="F169" s="16"/>
      <c r="G169" s="4"/>
      <c r="H169" s="4"/>
      <c r="I169" s="16"/>
      <c r="J169" s="4"/>
      <c r="K169" s="16"/>
      <c r="L169" s="4"/>
      <c r="M169" s="19"/>
      <c r="N169" s="4"/>
      <c r="O169" s="16"/>
      <c r="P169" s="4"/>
      <c r="Q169" s="4"/>
      <c r="R169" s="4"/>
      <c r="S169" s="4"/>
    </row>
    <row r="170" spans="1:19" ht="15.75" customHeight="1" x14ac:dyDescent="0.2">
      <c r="A170" s="16"/>
      <c r="B170" s="4"/>
      <c r="C170" s="16"/>
      <c r="D170" s="4"/>
      <c r="E170" s="16"/>
      <c r="F170" s="16"/>
      <c r="G170" s="4"/>
      <c r="H170" s="4"/>
      <c r="I170" s="16"/>
      <c r="J170" s="4"/>
      <c r="K170" s="16"/>
      <c r="L170" s="4"/>
      <c r="M170" s="19"/>
      <c r="N170" s="4"/>
      <c r="O170" s="16"/>
      <c r="P170" s="4"/>
      <c r="Q170" s="4"/>
      <c r="R170" s="4"/>
      <c r="S170" s="4"/>
    </row>
    <row r="171" spans="1:19" ht="15.75" customHeight="1" x14ac:dyDescent="0.2">
      <c r="A171" s="16"/>
      <c r="B171" s="4"/>
      <c r="C171" s="16"/>
      <c r="D171" s="4"/>
      <c r="E171" s="16"/>
      <c r="F171" s="16"/>
      <c r="G171" s="4"/>
      <c r="H171" s="4"/>
      <c r="I171" s="16"/>
      <c r="J171" s="4"/>
      <c r="K171" s="16"/>
      <c r="L171" s="4"/>
      <c r="M171" s="19"/>
      <c r="N171" s="4"/>
      <c r="O171" s="16"/>
      <c r="P171" s="4"/>
      <c r="Q171" s="4"/>
      <c r="R171" s="4"/>
      <c r="S171" s="4"/>
    </row>
    <row r="172" spans="1:19" ht="15.75" customHeight="1" x14ac:dyDescent="0.2">
      <c r="A172" s="16"/>
      <c r="B172" s="4"/>
      <c r="C172" s="16"/>
      <c r="D172" s="4"/>
      <c r="E172" s="16"/>
      <c r="F172" s="16"/>
      <c r="G172" s="4"/>
      <c r="H172" s="4"/>
      <c r="I172" s="16"/>
      <c r="J172" s="4"/>
      <c r="K172" s="16"/>
      <c r="L172" s="4"/>
      <c r="M172" s="19"/>
      <c r="N172" s="4"/>
      <c r="O172" s="16"/>
      <c r="P172" s="4"/>
      <c r="Q172" s="4"/>
      <c r="R172" s="4"/>
      <c r="S172" s="4"/>
    </row>
    <row r="173" spans="1:19" ht="15.75" customHeight="1" x14ac:dyDescent="0.2">
      <c r="A173" s="16"/>
      <c r="B173" s="4"/>
      <c r="C173" s="16"/>
      <c r="D173" s="4"/>
      <c r="E173" s="16"/>
      <c r="F173" s="16"/>
      <c r="G173" s="4"/>
      <c r="H173" s="4"/>
      <c r="I173" s="16"/>
      <c r="J173" s="4"/>
      <c r="K173" s="16"/>
      <c r="L173" s="4"/>
      <c r="M173" s="19"/>
      <c r="N173" s="4"/>
      <c r="O173" s="16"/>
      <c r="P173" s="4"/>
      <c r="Q173" s="4"/>
      <c r="R173" s="4"/>
      <c r="S173" s="4"/>
    </row>
    <row r="174" spans="1:19" ht="15.75" customHeight="1" x14ac:dyDescent="0.2">
      <c r="A174" s="16"/>
      <c r="B174" s="4"/>
      <c r="C174" s="16"/>
      <c r="D174" s="4"/>
      <c r="E174" s="16"/>
      <c r="F174" s="16"/>
      <c r="G174" s="4"/>
      <c r="H174" s="4"/>
      <c r="I174" s="16"/>
      <c r="J174" s="4"/>
      <c r="K174" s="16"/>
      <c r="L174" s="4"/>
      <c r="M174" s="19"/>
      <c r="N174" s="4"/>
      <c r="O174" s="16"/>
      <c r="P174" s="4"/>
      <c r="Q174" s="4"/>
      <c r="R174" s="4"/>
      <c r="S174" s="4"/>
    </row>
    <row r="175" spans="1:19" ht="15.75" customHeight="1" x14ac:dyDescent="0.2">
      <c r="A175" s="16"/>
      <c r="B175" s="4"/>
      <c r="C175" s="16"/>
      <c r="D175" s="4"/>
      <c r="E175" s="16"/>
      <c r="F175" s="16"/>
      <c r="G175" s="4"/>
      <c r="H175" s="4"/>
      <c r="I175" s="16"/>
      <c r="J175" s="4"/>
      <c r="K175" s="16"/>
      <c r="L175" s="4"/>
      <c r="M175" s="19"/>
      <c r="N175" s="4"/>
      <c r="O175" s="16"/>
      <c r="P175" s="4"/>
      <c r="Q175" s="4"/>
      <c r="R175" s="4"/>
      <c r="S175" s="4"/>
    </row>
    <row r="176" spans="1:19" ht="15.75" customHeight="1" x14ac:dyDescent="0.2">
      <c r="A176" s="16"/>
      <c r="B176" s="4"/>
      <c r="C176" s="16"/>
      <c r="D176" s="4"/>
      <c r="E176" s="16"/>
      <c r="F176" s="16"/>
      <c r="G176" s="4"/>
      <c r="H176" s="4"/>
      <c r="I176" s="16"/>
      <c r="J176" s="4"/>
      <c r="K176" s="16"/>
      <c r="L176" s="4"/>
      <c r="M176" s="19"/>
      <c r="N176" s="4"/>
      <c r="O176" s="16"/>
      <c r="P176" s="4"/>
      <c r="Q176" s="4"/>
      <c r="R176" s="4"/>
      <c r="S176" s="4"/>
    </row>
    <row r="177" spans="1:19" ht="15.75" customHeight="1" x14ac:dyDescent="0.2">
      <c r="A177" s="16"/>
      <c r="B177" s="4"/>
      <c r="C177" s="16"/>
      <c r="D177" s="4"/>
      <c r="E177" s="16"/>
      <c r="F177" s="16"/>
      <c r="G177" s="4"/>
      <c r="H177" s="4"/>
      <c r="I177" s="16"/>
      <c r="J177" s="4"/>
      <c r="K177" s="16"/>
      <c r="L177" s="4"/>
      <c r="M177" s="19"/>
      <c r="N177" s="4"/>
      <c r="O177" s="16"/>
      <c r="P177" s="4"/>
      <c r="Q177" s="4"/>
      <c r="R177" s="4"/>
      <c r="S177" s="4"/>
    </row>
    <row r="178" spans="1:19" ht="15.75" customHeight="1" x14ac:dyDescent="0.2">
      <c r="A178" s="16"/>
      <c r="B178" s="4"/>
      <c r="C178" s="16"/>
      <c r="D178" s="4"/>
      <c r="E178" s="16"/>
      <c r="F178" s="16"/>
      <c r="G178" s="4"/>
      <c r="H178" s="4"/>
      <c r="I178" s="16"/>
      <c r="J178" s="4"/>
      <c r="K178" s="16"/>
      <c r="L178" s="4"/>
      <c r="M178" s="19"/>
      <c r="N178" s="4"/>
      <c r="O178" s="16"/>
      <c r="P178" s="4"/>
      <c r="Q178" s="4"/>
      <c r="R178" s="4"/>
      <c r="S178" s="4"/>
    </row>
    <row r="179" spans="1:19" ht="15.75" customHeight="1" x14ac:dyDescent="0.2">
      <c r="A179" s="16"/>
      <c r="B179" s="4"/>
      <c r="C179" s="16"/>
      <c r="D179" s="4"/>
      <c r="E179" s="16"/>
      <c r="F179" s="16"/>
      <c r="G179" s="4"/>
      <c r="H179" s="4"/>
      <c r="I179" s="16"/>
      <c r="J179" s="4"/>
      <c r="K179" s="16"/>
      <c r="L179" s="4"/>
      <c r="M179" s="19"/>
      <c r="N179" s="4"/>
      <c r="O179" s="16"/>
      <c r="P179" s="4"/>
      <c r="Q179" s="4"/>
      <c r="R179" s="4"/>
      <c r="S179" s="4"/>
    </row>
    <row r="180" spans="1:19" ht="15.75" customHeight="1" x14ac:dyDescent="0.2">
      <c r="A180" s="16"/>
      <c r="B180" s="4"/>
      <c r="C180" s="16"/>
      <c r="D180" s="4"/>
      <c r="E180" s="16"/>
      <c r="F180" s="16"/>
      <c r="G180" s="4"/>
      <c r="H180" s="4"/>
      <c r="I180" s="16"/>
      <c r="J180" s="4"/>
      <c r="K180" s="16"/>
      <c r="L180" s="4"/>
      <c r="M180" s="19"/>
      <c r="N180" s="4"/>
      <c r="O180" s="16"/>
      <c r="P180" s="4"/>
      <c r="Q180" s="4"/>
      <c r="R180" s="4"/>
      <c r="S180" s="4"/>
    </row>
    <row r="181" spans="1:19" ht="15.75" customHeight="1" x14ac:dyDescent="0.2">
      <c r="A181" s="16"/>
      <c r="B181" s="4"/>
      <c r="C181" s="16"/>
      <c r="D181" s="4"/>
      <c r="E181" s="16"/>
      <c r="F181" s="16"/>
      <c r="G181" s="4"/>
      <c r="H181" s="4"/>
      <c r="I181" s="16"/>
      <c r="J181" s="4"/>
      <c r="K181" s="16"/>
      <c r="L181" s="4"/>
      <c r="M181" s="19"/>
      <c r="N181" s="4"/>
      <c r="O181" s="16"/>
      <c r="P181" s="4"/>
      <c r="Q181" s="4"/>
      <c r="R181" s="4"/>
      <c r="S181" s="4"/>
    </row>
    <row r="182" spans="1:19" ht="15.75" customHeight="1" x14ac:dyDescent="0.2">
      <c r="A182" s="16"/>
      <c r="B182" s="4"/>
      <c r="C182" s="16"/>
      <c r="D182" s="4"/>
      <c r="E182" s="16"/>
      <c r="F182" s="16"/>
      <c r="G182" s="4"/>
      <c r="H182" s="4"/>
      <c r="I182" s="16"/>
      <c r="J182" s="4"/>
      <c r="K182" s="16"/>
      <c r="L182" s="4"/>
      <c r="M182" s="19"/>
      <c r="N182" s="4"/>
      <c r="O182" s="16"/>
      <c r="P182" s="4"/>
      <c r="Q182" s="4"/>
      <c r="R182" s="4"/>
      <c r="S182" s="4"/>
    </row>
    <row r="183" spans="1:19" ht="15.75" customHeight="1" x14ac:dyDescent="0.2">
      <c r="A183" s="16"/>
      <c r="B183" s="4"/>
      <c r="C183" s="16"/>
      <c r="D183" s="4"/>
      <c r="E183" s="16"/>
      <c r="F183" s="16"/>
      <c r="G183" s="4"/>
      <c r="H183" s="4"/>
      <c r="I183" s="16"/>
      <c r="J183" s="4"/>
      <c r="K183" s="16"/>
      <c r="L183" s="4"/>
      <c r="M183" s="19"/>
      <c r="N183" s="4"/>
      <c r="O183" s="16"/>
      <c r="P183" s="4"/>
      <c r="Q183" s="4"/>
      <c r="R183" s="4"/>
      <c r="S183" s="4"/>
    </row>
    <row r="184" spans="1:19" ht="15.75" customHeight="1" x14ac:dyDescent="0.2">
      <c r="A184" s="16"/>
      <c r="B184" s="4"/>
      <c r="C184" s="16"/>
      <c r="D184" s="4"/>
      <c r="E184" s="16"/>
      <c r="F184" s="16"/>
      <c r="G184" s="4"/>
      <c r="H184" s="4"/>
      <c r="I184" s="16"/>
      <c r="J184" s="4"/>
      <c r="K184" s="16"/>
      <c r="L184" s="4"/>
      <c r="M184" s="19"/>
      <c r="N184" s="4"/>
      <c r="O184" s="16"/>
      <c r="P184" s="4"/>
      <c r="Q184" s="4"/>
      <c r="R184" s="4"/>
      <c r="S184" s="4"/>
    </row>
    <row r="185" spans="1:19" ht="15.75" customHeight="1" x14ac:dyDescent="0.2">
      <c r="A185" s="16"/>
      <c r="B185" s="4"/>
      <c r="C185" s="16"/>
      <c r="D185" s="4"/>
      <c r="E185" s="16"/>
      <c r="F185" s="16"/>
      <c r="G185" s="4"/>
      <c r="H185" s="4"/>
      <c r="I185" s="16"/>
      <c r="J185" s="4"/>
      <c r="K185" s="16"/>
      <c r="L185" s="4"/>
      <c r="M185" s="19"/>
      <c r="N185" s="4"/>
      <c r="O185" s="16"/>
      <c r="P185" s="4"/>
      <c r="Q185" s="4"/>
      <c r="R185" s="4"/>
      <c r="S185" s="4"/>
    </row>
    <row r="186" spans="1:19" ht="15.75" customHeight="1" x14ac:dyDescent="0.2">
      <c r="A186" s="16"/>
      <c r="B186" s="4"/>
      <c r="C186" s="16"/>
      <c r="D186" s="4"/>
      <c r="E186" s="16"/>
      <c r="F186" s="16"/>
      <c r="G186" s="4"/>
      <c r="H186" s="4"/>
      <c r="I186" s="16"/>
      <c r="J186" s="4"/>
      <c r="K186" s="16"/>
      <c r="L186" s="4"/>
      <c r="M186" s="19"/>
      <c r="N186" s="4"/>
      <c r="O186" s="16"/>
      <c r="P186" s="4"/>
      <c r="Q186" s="4"/>
      <c r="R186" s="4"/>
      <c r="S186" s="4"/>
    </row>
    <row r="187" spans="1:19" ht="15.75" customHeight="1" x14ac:dyDescent="0.2">
      <c r="A187" s="16"/>
      <c r="B187" s="4"/>
      <c r="C187" s="16"/>
      <c r="D187" s="4"/>
      <c r="E187" s="16"/>
      <c r="F187" s="16"/>
      <c r="G187" s="4"/>
      <c r="H187" s="4"/>
      <c r="I187" s="16"/>
      <c r="J187" s="4"/>
      <c r="K187" s="16"/>
      <c r="L187" s="4"/>
      <c r="M187" s="19"/>
      <c r="N187" s="4"/>
      <c r="O187" s="16"/>
      <c r="P187" s="4"/>
      <c r="Q187" s="4"/>
      <c r="R187" s="4"/>
      <c r="S187" s="4"/>
    </row>
    <row r="188" spans="1:19" ht="15.75" customHeight="1" x14ac:dyDescent="0.2">
      <c r="A188" s="16"/>
      <c r="B188" s="4"/>
      <c r="C188" s="16"/>
      <c r="D188" s="4"/>
      <c r="E188" s="16"/>
      <c r="F188" s="16"/>
      <c r="G188" s="4"/>
      <c r="H188" s="4"/>
      <c r="I188" s="16"/>
      <c r="J188" s="4"/>
      <c r="K188" s="16"/>
      <c r="L188" s="4"/>
      <c r="M188" s="19"/>
      <c r="N188" s="4"/>
      <c r="O188" s="16"/>
      <c r="P188" s="4"/>
      <c r="Q188" s="4"/>
      <c r="R188" s="4"/>
      <c r="S188" s="4"/>
    </row>
    <row r="189" spans="1:19" ht="15.75" customHeight="1" x14ac:dyDescent="0.2">
      <c r="A189" s="16"/>
      <c r="B189" s="4"/>
      <c r="C189" s="16"/>
      <c r="D189" s="4"/>
      <c r="E189" s="16"/>
      <c r="F189" s="16"/>
      <c r="G189" s="4"/>
      <c r="H189" s="4"/>
      <c r="I189" s="16"/>
      <c r="J189" s="4"/>
      <c r="K189" s="16"/>
      <c r="L189" s="4"/>
      <c r="M189" s="19"/>
      <c r="N189" s="4"/>
      <c r="O189" s="16"/>
      <c r="P189" s="4"/>
      <c r="Q189" s="4"/>
      <c r="R189" s="4"/>
      <c r="S189" s="4"/>
    </row>
    <row r="190" spans="1:19" ht="15.75" customHeight="1" x14ac:dyDescent="0.2">
      <c r="A190" s="16"/>
      <c r="B190" s="4"/>
      <c r="C190" s="16"/>
      <c r="D190" s="4"/>
      <c r="E190" s="16"/>
      <c r="F190" s="16"/>
      <c r="G190" s="4"/>
      <c r="H190" s="4"/>
      <c r="I190" s="16"/>
      <c r="J190" s="4"/>
      <c r="K190" s="16"/>
      <c r="L190" s="4"/>
      <c r="M190" s="19"/>
      <c r="N190" s="4"/>
      <c r="O190" s="16"/>
      <c r="P190" s="4"/>
      <c r="Q190" s="4"/>
      <c r="R190" s="4"/>
      <c r="S190" s="4"/>
    </row>
    <row r="191" spans="1:19" ht="15.75" customHeight="1" x14ac:dyDescent="0.2">
      <c r="A191" s="16"/>
      <c r="B191" s="4"/>
      <c r="C191" s="16"/>
      <c r="D191" s="4"/>
      <c r="E191" s="16"/>
      <c r="F191" s="16"/>
      <c r="G191" s="4"/>
      <c r="H191" s="4"/>
      <c r="I191" s="16"/>
      <c r="J191" s="4"/>
      <c r="K191" s="16"/>
      <c r="L191" s="4"/>
      <c r="M191" s="19"/>
      <c r="N191" s="4"/>
      <c r="O191" s="16"/>
      <c r="P191" s="4"/>
      <c r="Q191" s="4"/>
      <c r="R191" s="4"/>
      <c r="S191" s="4"/>
    </row>
    <row r="192" spans="1:19" ht="15.75" customHeight="1" x14ac:dyDescent="0.2">
      <c r="A192" s="16"/>
      <c r="B192" s="4"/>
      <c r="C192" s="16"/>
      <c r="D192" s="4"/>
      <c r="E192" s="16"/>
      <c r="F192" s="16"/>
      <c r="G192" s="4"/>
      <c r="H192" s="4"/>
      <c r="I192" s="16"/>
      <c r="J192" s="4"/>
      <c r="K192" s="16"/>
      <c r="L192" s="4"/>
      <c r="M192" s="19"/>
      <c r="N192" s="4"/>
      <c r="O192" s="16"/>
      <c r="P192" s="4"/>
      <c r="Q192" s="4"/>
      <c r="R192" s="4"/>
      <c r="S192" s="4"/>
    </row>
    <row r="193" spans="1:19" ht="15.75" customHeight="1" x14ac:dyDescent="0.2">
      <c r="A193" s="16"/>
      <c r="B193" s="4"/>
      <c r="C193" s="16"/>
      <c r="D193" s="4"/>
      <c r="E193" s="16"/>
      <c r="F193" s="16"/>
      <c r="G193" s="4"/>
      <c r="H193" s="4"/>
      <c r="I193" s="16"/>
      <c r="J193" s="4"/>
      <c r="K193" s="16"/>
      <c r="L193" s="4"/>
      <c r="M193" s="19"/>
      <c r="N193" s="4"/>
      <c r="O193" s="16"/>
      <c r="P193" s="4"/>
      <c r="Q193" s="4"/>
      <c r="R193" s="4"/>
      <c r="S193" s="4"/>
    </row>
    <row r="194" spans="1:19" ht="15.75" customHeight="1" x14ac:dyDescent="0.2">
      <c r="A194" s="16"/>
      <c r="B194" s="4"/>
      <c r="C194" s="16"/>
      <c r="D194" s="4"/>
      <c r="E194" s="16"/>
      <c r="F194" s="16"/>
      <c r="G194" s="4"/>
      <c r="H194" s="4"/>
      <c r="I194" s="16"/>
      <c r="J194" s="4"/>
      <c r="K194" s="16"/>
      <c r="L194" s="4"/>
      <c r="M194" s="19"/>
      <c r="N194" s="4"/>
      <c r="O194" s="16"/>
      <c r="P194" s="4"/>
      <c r="Q194" s="4"/>
      <c r="R194" s="4"/>
      <c r="S194" s="4"/>
    </row>
    <row r="195" spans="1:19" ht="15.75" customHeight="1" x14ac:dyDescent="0.2">
      <c r="A195" s="16"/>
      <c r="B195" s="4"/>
      <c r="C195" s="16"/>
      <c r="D195" s="4"/>
      <c r="E195" s="16"/>
      <c r="F195" s="16"/>
      <c r="G195" s="4"/>
      <c r="H195" s="4"/>
      <c r="I195" s="16"/>
      <c r="J195" s="4"/>
      <c r="K195" s="16"/>
      <c r="L195" s="4"/>
      <c r="M195" s="19"/>
      <c r="N195" s="4"/>
      <c r="O195" s="16"/>
      <c r="P195" s="4"/>
      <c r="Q195" s="4"/>
      <c r="R195" s="4"/>
      <c r="S195" s="4"/>
    </row>
    <row r="196" spans="1:19" ht="15.75" customHeight="1" x14ac:dyDescent="0.2">
      <c r="A196" s="16"/>
      <c r="B196" s="4"/>
      <c r="C196" s="16"/>
      <c r="D196" s="4"/>
      <c r="E196" s="16"/>
      <c r="F196" s="16"/>
      <c r="G196" s="4"/>
      <c r="H196" s="4"/>
      <c r="I196" s="16"/>
      <c r="J196" s="4"/>
      <c r="K196" s="16"/>
      <c r="L196" s="4"/>
      <c r="M196" s="19"/>
      <c r="N196" s="4"/>
      <c r="O196" s="16"/>
      <c r="P196" s="4"/>
      <c r="Q196" s="4"/>
      <c r="R196" s="4"/>
      <c r="S196" s="4"/>
    </row>
    <row r="197" spans="1:19" ht="15.75" customHeight="1" x14ac:dyDescent="0.2">
      <c r="A197" s="16"/>
      <c r="B197" s="4"/>
      <c r="C197" s="16"/>
      <c r="D197" s="4"/>
      <c r="E197" s="16"/>
      <c r="F197" s="16"/>
      <c r="G197" s="4"/>
      <c r="H197" s="4"/>
      <c r="I197" s="16"/>
      <c r="J197" s="4"/>
      <c r="K197" s="16"/>
      <c r="L197" s="4"/>
      <c r="M197" s="19"/>
      <c r="N197" s="4"/>
      <c r="O197" s="16"/>
      <c r="P197" s="4"/>
      <c r="Q197" s="4"/>
      <c r="R197" s="4"/>
      <c r="S197" s="4"/>
    </row>
    <row r="198" spans="1:19" ht="15.75" customHeight="1" x14ac:dyDescent="0.2">
      <c r="A198" s="16"/>
      <c r="B198" s="4"/>
      <c r="C198" s="16"/>
      <c r="D198" s="4"/>
      <c r="E198" s="16"/>
      <c r="F198" s="16"/>
      <c r="G198" s="4"/>
      <c r="H198" s="4"/>
      <c r="I198" s="16"/>
      <c r="J198" s="4"/>
      <c r="K198" s="16"/>
      <c r="L198" s="4"/>
      <c r="M198" s="19"/>
      <c r="N198" s="4"/>
      <c r="O198" s="16"/>
      <c r="P198" s="4"/>
      <c r="Q198" s="4"/>
      <c r="R198" s="4"/>
      <c r="S198" s="4"/>
    </row>
    <row r="199" spans="1:19" ht="15.75" customHeight="1" x14ac:dyDescent="0.2">
      <c r="A199" s="16"/>
      <c r="B199" s="4"/>
      <c r="C199" s="16"/>
      <c r="D199" s="4"/>
      <c r="E199" s="16"/>
      <c r="F199" s="16"/>
      <c r="G199" s="4"/>
      <c r="H199" s="4"/>
      <c r="I199" s="16"/>
      <c r="J199" s="4"/>
      <c r="K199" s="16"/>
      <c r="L199" s="4"/>
      <c r="M199" s="19"/>
      <c r="N199" s="4"/>
      <c r="O199" s="16"/>
      <c r="P199" s="4"/>
      <c r="Q199" s="4"/>
      <c r="R199" s="4"/>
      <c r="S199" s="4"/>
    </row>
    <row r="200" spans="1:19" ht="15.75" customHeight="1" x14ac:dyDescent="0.2">
      <c r="A200" s="16"/>
      <c r="B200" s="4"/>
      <c r="C200" s="16"/>
      <c r="D200" s="4"/>
      <c r="E200" s="16"/>
      <c r="F200" s="16"/>
      <c r="G200" s="4"/>
      <c r="H200" s="4"/>
      <c r="I200" s="16"/>
      <c r="J200" s="4"/>
      <c r="K200" s="16"/>
      <c r="L200" s="4"/>
      <c r="M200" s="19"/>
      <c r="N200" s="4"/>
      <c r="O200" s="16"/>
      <c r="P200" s="4"/>
      <c r="Q200" s="4"/>
      <c r="R200" s="4"/>
      <c r="S200" s="4"/>
    </row>
    <row r="201" spans="1:19" ht="15.75" customHeight="1" x14ac:dyDescent="0.2">
      <c r="A201" s="16"/>
      <c r="B201" s="4"/>
      <c r="C201" s="16"/>
      <c r="D201" s="4"/>
      <c r="E201" s="16"/>
      <c r="F201" s="16"/>
      <c r="G201" s="4"/>
      <c r="H201" s="4"/>
      <c r="I201" s="16"/>
      <c r="J201" s="4"/>
      <c r="K201" s="16"/>
      <c r="L201" s="4"/>
      <c r="M201" s="19"/>
      <c r="N201" s="4"/>
      <c r="O201" s="16"/>
      <c r="P201" s="4"/>
      <c r="Q201" s="4"/>
      <c r="R201" s="4"/>
      <c r="S201" s="4"/>
    </row>
    <row r="202" spans="1:19" ht="15.75" customHeight="1" x14ac:dyDescent="0.2">
      <c r="A202" s="16"/>
      <c r="B202" s="4"/>
      <c r="C202" s="16"/>
      <c r="D202" s="4"/>
      <c r="E202" s="16"/>
      <c r="F202" s="16"/>
      <c r="G202" s="4"/>
      <c r="H202" s="4"/>
      <c r="I202" s="16"/>
      <c r="J202" s="4"/>
      <c r="K202" s="16"/>
      <c r="L202" s="4"/>
      <c r="M202" s="19"/>
      <c r="N202" s="4"/>
      <c r="O202" s="16"/>
      <c r="P202" s="4"/>
      <c r="Q202" s="4"/>
      <c r="R202" s="4"/>
      <c r="S202" s="4"/>
    </row>
    <row r="203" spans="1:19" ht="15.75" customHeight="1" x14ac:dyDescent="0.2">
      <c r="A203" s="16"/>
      <c r="B203" s="4"/>
      <c r="C203" s="16"/>
      <c r="D203" s="4"/>
      <c r="E203" s="16"/>
      <c r="F203" s="16"/>
      <c r="G203" s="4"/>
      <c r="H203" s="4"/>
      <c r="I203" s="16"/>
      <c r="J203" s="4"/>
      <c r="K203" s="16"/>
      <c r="L203" s="4"/>
      <c r="M203" s="19"/>
      <c r="N203" s="4"/>
      <c r="O203" s="16"/>
      <c r="P203" s="4"/>
      <c r="Q203" s="4"/>
      <c r="R203" s="4"/>
      <c r="S203" s="4"/>
    </row>
    <row r="204" spans="1:19" ht="15.75" customHeight="1" x14ac:dyDescent="0.2">
      <c r="A204" s="16"/>
      <c r="B204" s="4"/>
      <c r="C204" s="16"/>
      <c r="D204" s="4"/>
      <c r="E204" s="16"/>
      <c r="F204" s="16"/>
      <c r="G204" s="4"/>
      <c r="H204" s="4"/>
      <c r="I204" s="16"/>
      <c r="J204" s="4"/>
      <c r="K204" s="16"/>
      <c r="L204" s="4"/>
      <c r="M204" s="19"/>
      <c r="N204" s="4"/>
      <c r="O204" s="16"/>
      <c r="P204" s="4"/>
      <c r="Q204" s="4"/>
      <c r="R204" s="4"/>
      <c r="S204" s="4"/>
    </row>
    <row r="205" spans="1:19" ht="15.75" customHeight="1" x14ac:dyDescent="0.2">
      <c r="A205" s="16"/>
      <c r="B205" s="4"/>
      <c r="C205" s="16"/>
      <c r="D205" s="4"/>
      <c r="E205" s="16"/>
      <c r="F205" s="16"/>
      <c r="G205" s="4"/>
      <c r="H205" s="4"/>
      <c r="I205" s="16"/>
      <c r="J205" s="4"/>
      <c r="K205" s="16"/>
      <c r="L205" s="4"/>
      <c r="M205" s="19"/>
      <c r="N205" s="4"/>
      <c r="O205" s="16"/>
      <c r="P205" s="4"/>
      <c r="Q205" s="4"/>
      <c r="R205" s="4"/>
      <c r="S205" s="4"/>
    </row>
    <row r="206" spans="1:19" ht="15.75" customHeight="1" x14ac:dyDescent="0.2">
      <c r="A206" s="16"/>
      <c r="B206" s="4"/>
      <c r="C206" s="16"/>
      <c r="D206" s="4"/>
      <c r="E206" s="16"/>
      <c r="F206" s="16"/>
      <c r="G206" s="4"/>
      <c r="H206" s="4"/>
      <c r="I206" s="16"/>
      <c r="J206" s="4"/>
      <c r="K206" s="16"/>
      <c r="L206" s="4"/>
      <c r="M206" s="19"/>
      <c r="N206" s="4"/>
      <c r="O206" s="16"/>
      <c r="P206" s="4"/>
      <c r="Q206" s="4"/>
      <c r="R206" s="4"/>
      <c r="S206" s="4"/>
    </row>
    <row r="207" spans="1:19" ht="15.75" customHeight="1" x14ac:dyDescent="0.2">
      <c r="A207" s="16"/>
      <c r="B207" s="4"/>
      <c r="C207" s="16"/>
      <c r="D207" s="4"/>
      <c r="E207" s="16"/>
      <c r="F207" s="16"/>
      <c r="G207" s="4"/>
      <c r="H207" s="4"/>
      <c r="I207" s="16"/>
      <c r="J207" s="4"/>
      <c r="K207" s="16"/>
      <c r="L207" s="4"/>
      <c r="M207" s="19"/>
      <c r="N207" s="4"/>
      <c r="O207" s="16"/>
      <c r="P207" s="4"/>
      <c r="Q207" s="4"/>
      <c r="R207" s="4"/>
      <c r="S207" s="4"/>
    </row>
    <row r="208" spans="1:19" ht="15.75" customHeight="1" x14ac:dyDescent="0.2">
      <c r="A208" s="16"/>
      <c r="B208" s="4"/>
      <c r="C208" s="16"/>
      <c r="D208" s="4"/>
      <c r="E208" s="16"/>
      <c r="F208" s="16"/>
      <c r="G208" s="4"/>
      <c r="H208" s="4"/>
      <c r="I208" s="16"/>
      <c r="J208" s="4"/>
      <c r="K208" s="16"/>
      <c r="L208" s="4"/>
      <c r="M208" s="19"/>
      <c r="N208" s="4"/>
      <c r="O208" s="16"/>
      <c r="P208" s="4"/>
      <c r="Q208" s="4"/>
      <c r="R208" s="4"/>
      <c r="S208" s="4"/>
    </row>
    <row r="209" spans="1:19" ht="15.75" customHeight="1" x14ac:dyDescent="0.2">
      <c r="A209" s="16"/>
      <c r="B209" s="4"/>
      <c r="C209" s="16"/>
      <c r="D209" s="4"/>
      <c r="E209" s="16"/>
      <c r="F209" s="16"/>
      <c r="G209" s="4"/>
      <c r="H209" s="4"/>
      <c r="I209" s="16"/>
      <c r="J209" s="4"/>
      <c r="K209" s="16"/>
      <c r="L209" s="4"/>
      <c r="M209" s="19"/>
      <c r="N209" s="4"/>
      <c r="O209" s="16"/>
      <c r="P209" s="4"/>
      <c r="Q209" s="4"/>
      <c r="R209" s="4"/>
      <c r="S209" s="4"/>
    </row>
    <row r="210" spans="1:19" ht="15.75" customHeight="1" x14ac:dyDescent="0.2">
      <c r="A210" s="16"/>
      <c r="B210" s="4"/>
      <c r="C210" s="16"/>
      <c r="D210" s="4"/>
      <c r="E210" s="16"/>
      <c r="F210" s="16"/>
      <c r="G210" s="4"/>
      <c r="H210" s="4"/>
      <c r="I210" s="16"/>
      <c r="J210" s="4"/>
      <c r="K210" s="16"/>
      <c r="L210" s="4"/>
      <c r="M210" s="19"/>
      <c r="N210" s="4"/>
      <c r="O210" s="16"/>
      <c r="P210" s="4"/>
      <c r="Q210" s="4"/>
      <c r="R210" s="4"/>
      <c r="S210" s="4"/>
    </row>
    <row r="211" spans="1:19" ht="15.75" customHeight="1" x14ac:dyDescent="0.2">
      <c r="A211" s="16"/>
      <c r="B211" s="4"/>
      <c r="C211" s="16"/>
      <c r="D211" s="4"/>
      <c r="E211" s="16"/>
      <c r="F211" s="16"/>
      <c r="G211" s="4"/>
      <c r="H211" s="4"/>
      <c r="I211" s="16"/>
      <c r="J211" s="4"/>
      <c r="K211" s="16"/>
      <c r="L211" s="4"/>
      <c r="M211" s="19"/>
      <c r="N211" s="4"/>
      <c r="O211" s="16"/>
      <c r="P211" s="4"/>
      <c r="Q211" s="4"/>
      <c r="R211" s="4"/>
      <c r="S211" s="4"/>
    </row>
    <row r="212" spans="1:19" ht="15.75" customHeight="1" x14ac:dyDescent="0.2">
      <c r="A212" s="16"/>
      <c r="B212" s="4"/>
      <c r="C212" s="16"/>
      <c r="D212" s="4"/>
      <c r="E212" s="16"/>
      <c r="F212" s="16"/>
      <c r="G212" s="4"/>
      <c r="H212" s="4"/>
      <c r="I212" s="16"/>
      <c r="J212" s="4"/>
      <c r="K212" s="16"/>
      <c r="L212" s="4"/>
      <c r="M212" s="19"/>
      <c r="N212" s="4"/>
      <c r="O212" s="16"/>
      <c r="P212" s="4"/>
      <c r="Q212" s="4"/>
      <c r="R212" s="4"/>
      <c r="S212" s="4"/>
    </row>
    <row r="213" spans="1:19" ht="15.75" customHeight="1" x14ac:dyDescent="0.2">
      <c r="A213" s="16"/>
      <c r="B213" s="4"/>
      <c r="C213" s="16"/>
      <c r="D213" s="4"/>
      <c r="E213" s="16"/>
      <c r="F213" s="16"/>
      <c r="G213" s="4"/>
      <c r="H213" s="4"/>
      <c r="I213" s="16"/>
      <c r="J213" s="4"/>
      <c r="K213" s="16"/>
      <c r="L213" s="4"/>
      <c r="M213" s="19"/>
      <c r="N213" s="4"/>
      <c r="O213" s="16"/>
      <c r="P213" s="4"/>
      <c r="Q213" s="4"/>
      <c r="R213" s="4"/>
      <c r="S213" s="4"/>
    </row>
    <row r="214" spans="1:19" ht="15.75" customHeight="1" x14ac:dyDescent="0.2">
      <c r="A214" s="16"/>
      <c r="B214" s="4"/>
      <c r="C214" s="16"/>
      <c r="D214" s="4"/>
      <c r="E214" s="16"/>
      <c r="F214" s="16"/>
      <c r="G214" s="4"/>
      <c r="H214" s="4"/>
      <c r="I214" s="16"/>
      <c r="J214" s="4"/>
      <c r="K214" s="16"/>
      <c r="L214" s="4"/>
      <c r="M214" s="19"/>
      <c r="N214" s="4"/>
      <c r="O214" s="16"/>
      <c r="P214" s="4"/>
      <c r="Q214" s="4"/>
      <c r="R214" s="4"/>
      <c r="S214" s="4"/>
    </row>
    <row r="215" spans="1:19" ht="15.75" customHeight="1" x14ac:dyDescent="0.2">
      <c r="A215" s="16"/>
      <c r="B215" s="4"/>
      <c r="C215" s="16"/>
      <c r="D215" s="4"/>
      <c r="E215" s="16"/>
      <c r="F215" s="16"/>
      <c r="G215" s="4"/>
      <c r="H215" s="4"/>
      <c r="I215" s="16"/>
      <c r="J215" s="4"/>
      <c r="K215" s="16"/>
      <c r="L215" s="4"/>
      <c r="M215" s="19"/>
      <c r="N215" s="4"/>
      <c r="O215" s="16"/>
      <c r="P215" s="4"/>
      <c r="Q215" s="4"/>
      <c r="R215" s="4"/>
      <c r="S215" s="4"/>
    </row>
    <row r="216" spans="1:19" ht="15.75" customHeight="1" x14ac:dyDescent="0.2">
      <c r="A216" s="16"/>
      <c r="B216" s="4"/>
      <c r="C216" s="16"/>
      <c r="D216" s="4"/>
      <c r="E216" s="16"/>
      <c r="F216" s="16"/>
      <c r="G216" s="4"/>
      <c r="H216" s="4"/>
      <c r="I216" s="16"/>
      <c r="J216" s="4"/>
      <c r="K216" s="16"/>
      <c r="L216" s="4"/>
      <c r="M216" s="19"/>
      <c r="N216" s="4"/>
      <c r="O216" s="16"/>
      <c r="P216" s="4"/>
      <c r="Q216" s="4"/>
      <c r="R216" s="4"/>
      <c r="S216" s="4"/>
    </row>
    <row r="217" spans="1:19" ht="15.75" customHeight="1" x14ac:dyDescent="0.2">
      <c r="A217" s="16"/>
      <c r="B217" s="4"/>
      <c r="C217" s="16"/>
      <c r="D217" s="4"/>
      <c r="E217" s="16"/>
      <c r="F217" s="16"/>
      <c r="G217" s="4"/>
      <c r="H217" s="4"/>
      <c r="I217" s="16"/>
      <c r="J217" s="4"/>
      <c r="K217" s="16"/>
      <c r="L217" s="4"/>
      <c r="M217" s="19"/>
      <c r="N217" s="4"/>
      <c r="O217" s="16"/>
      <c r="P217" s="4"/>
      <c r="Q217" s="4"/>
      <c r="R217" s="4"/>
      <c r="S217" s="4"/>
    </row>
    <row r="218" spans="1:19" ht="15.75" customHeight="1" x14ac:dyDescent="0.2">
      <c r="A218" s="16"/>
      <c r="B218" s="4"/>
      <c r="C218" s="16"/>
      <c r="D218" s="4"/>
      <c r="E218" s="16"/>
      <c r="F218" s="16"/>
      <c r="G218" s="4"/>
      <c r="H218" s="4"/>
      <c r="I218" s="16"/>
      <c r="J218" s="4"/>
      <c r="K218" s="16"/>
      <c r="L218" s="4"/>
      <c r="M218" s="19"/>
      <c r="N218" s="4"/>
      <c r="O218" s="16"/>
      <c r="P218" s="4"/>
      <c r="Q218" s="4"/>
      <c r="R218" s="4"/>
      <c r="S218" s="4"/>
    </row>
    <row r="219" spans="1:19" ht="15.75" customHeight="1" x14ac:dyDescent="0.2">
      <c r="A219" s="16"/>
      <c r="B219" s="4"/>
      <c r="C219" s="16"/>
      <c r="D219" s="4"/>
      <c r="E219" s="16"/>
      <c r="F219" s="16"/>
      <c r="G219" s="4"/>
      <c r="H219" s="4"/>
      <c r="I219" s="16"/>
      <c r="J219" s="4"/>
      <c r="K219" s="16"/>
      <c r="L219" s="4"/>
      <c r="M219" s="19"/>
      <c r="N219" s="4"/>
      <c r="O219" s="16"/>
      <c r="P219" s="4"/>
      <c r="Q219" s="4"/>
      <c r="R219" s="4"/>
      <c r="S219" s="4"/>
    </row>
    <row r="220" spans="1:19" ht="15.75" customHeight="1" x14ac:dyDescent="0.2">
      <c r="A220" s="16"/>
      <c r="B220" s="4"/>
      <c r="C220" s="16"/>
      <c r="D220" s="4"/>
      <c r="E220" s="16"/>
      <c r="F220" s="16"/>
      <c r="G220" s="4"/>
      <c r="H220" s="4"/>
      <c r="I220" s="16"/>
      <c r="J220" s="4"/>
      <c r="K220" s="16"/>
      <c r="L220" s="4"/>
      <c r="M220" s="19"/>
      <c r="N220" s="4"/>
      <c r="O220" s="16"/>
      <c r="P220" s="4"/>
      <c r="Q220" s="4"/>
      <c r="R220" s="4"/>
      <c r="S220" s="4"/>
    </row>
    <row r="221" spans="1:19" ht="15.75" customHeight="1" x14ac:dyDescent="0.2">
      <c r="A221" s="16"/>
      <c r="B221" s="4"/>
      <c r="C221" s="16"/>
      <c r="D221" s="4"/>
      <c r="E221" s="16"/>
      <c r="F221" s="16"/>
      <c r="G221" s="4"/>
      <c r="H221" s="4"/>
      <c r="I221" s="16"/>
      <c r="J221" s="4"/>
      <c r="K221" s="16"/>
      <c r="L221" s="4"/>
      <c r="M221" s="19"/>
      <c r="N221" s="4"/>
      <c r="O221" s="16"/>
      <c r="P221" s="4"/>
      <c r="Q221" s="4"/>
      <c r="R221" s="4"/>
      <c r="S221" s="4"/>
    </row>
    <row r="222" spans="1:19" ht="15.75" customHeight="1" x14ac:dyDescent="0.2">
      <c r="A222" s="16"/>
      <c r="B222" s="4"/>
      <c r="C222" s="16"/>
      <c r="D222" s="4"/>
      <c r="E222" s="16"/>
      <c r="F222" s="16"/>
      <c r="G222" s="4"/>
      <c r="H222" s="4"/>
      <c r="I222" s="16"/>
      <c r="J222" s="4"/>
      <c r="K222" s="16"/>
      <c r="L222" s="4"/>
      <c r="M222" s="19"/>
      <c r="N222" s="4"/>
      <c r="O222" s="16"/>
      <c r="P222" s="4"/>
      <c r="Q222" s="4"/>
      <c r="R222" s="4"/>
      <c r="S222" s="4"/>
    </row>
    <row r="223" spans="1:19" ht="15.75" customHeight="1" x14ac:dyDescent="0.2">
      <c r="A223" s="16"/>
      <c r="B223" s="4"/>
      <c r="C223" s="16"/>
      <c r="D223" s="4"/>
      <c r="E223" s="16"/>
      <c r="F223" s="16"/>
      <c r="G223" s="4"/>
      <c r="H223" s="4"/>
      <c r="I223" s="16"/>
      <c r="J223" s="4"/>
      <c r="K223" s="16"/>
      <c r="L223" s="4"/>
      <c r="M223" s="19"/>
      <c r="N223" s="4"/>
      <c r="O223" s="16"/>
      <c r="P223" s="4"/>
      <c r="Q223" s="4"/>
      <c r="R223" s="4"/>
      <c r="S223" s="4"/>
    </row>
    <row r="224" spans="1:19" ht="15.75" customHeight="1" x14ac:dyDescent="0.2">
      <c r="A224" s="16"/>
      <c r="B224" s="4"/>
      <c r="C224" s="16"/>
      <c r="D224" s="4"/>
      <c r="E224" s="16"/>
      <c r="F224" s="16"/>
      <c r="G224" s="4"/>
      <c r="H224" s="4"/>
      <c r="I224" s="16"/>
      <c r="J224" s="4"/>
      <c r="K224" s="16"/>
      <c r="L224" s="4"/>
      <c r="M224" s="19"/>
      <c r="N224" s="4"/>
      <c r="O224" s="16"/>
      <c r="P224" s="4"/>
      <c r="Q224" s="4"/>
      <c r="R224" s="4"/>
      <c r="S224" s="4"/>
    </row>
    <row r="225" spans="1:19" ht="15.75" customHeight="1" x14ac:dyDescent="0.2">
      <c r="A225" s="16"/>
      <c r="B225" s="4"/>
      <c r="C225" s="16"/>
      <c r="D225" s="4"/>
      <c r="E225" s="16"/>
      <c r="F225" s="16"/>
      <c r="G225" s="4"/>
      <c r="H225" s="4"/>
      <c r="I225" s="16"/>
      <c r="J225" s="4"/>
      <c r="K225" s="16"/>
      <c r="L225" s="4"/>
      <c r="M225" s="19"/>
      <c r="N225" s="4"/>
      <c r="O225" s="16"/>
      <c r="P225" s="4"/>
      <c r="Q225" s="4"/>
      <c r="R225" s="4"/>
      <c r="S225" s="4"/>
    </row>
    <row r="226" spans="1:19" ht="15.75" customHeight="1" x14ac:dyDescent="0.2">
      <c r="A226" s="16"/>
      <c r="B226" s="4"/>
      <c r="C226" s="16"/>
      <c r="D226" s="4"/>
      <c r="E226" s="16"/>
      <c r="F226" s="16"/>
      <c r="G226" s="4"/>
      <c r="H226" s="4"/>
      <c r="I226" s="16"/>
      <c r="J226" s="4"/>
      <c r="K226" s="16"/>
      <c r="L226" s="4"/>
      <c r="M226" s="19"/>
      <c r="N226" s="4"/>
      <c r="O226" s="16"/>
      <c r="P226" s="4"/>
      <c r="Q226" s="4"/>
      <c r="R226" s="4"/>
      <c r="S226" s="4"/>
    </row>
    <row r="227" spans="1:19" ht="15.75" customHeight="1" x14ac:dyDescent="0.2">
      <c r="A227" s="16"/>
      <c r="B227" s="4"/>
      <c r="C227" s="16"/>
      <c r="D227" s="4"/>
      <c r="E227" s="16"/>
      <c r="F227" s="16"/>
      <c r="G227" s="4"/>
      <c r="H227" s="4"/>
      <c r="I227" s="16"/>
      <c r="J227" s="4"/>
      <c r="K227" s="16"/>
      <c r="L227" s="4"/>
      <c r="M227" s="19"/>
      <c r="N227" s="4"/>
      <c r="O227" s="16"/>
      <c r="P227" s="4"/>
      <c r="Q227" s="4"/>
      <c r="R227" s="4"/>
      <c r="S227" s="4"/>
    </row>
    <row r="228" spans="1:19" ht="15.75" customHeight="1" x14ac:dyDescent="0.2">
      <c r="A228" s="16"/>
      <c r="B228" s="4"/>
      <c r="C228" s="16"/>
      <c r="D228" s="4"/>
      <c r="E228" s="16"/>
      <c r="F228" s="16"/>
      <c r="G228" s="4"/>
      <c r="H228" s="4"/>
      <c r="I228" s="16"/>
      <c r="J228" s="4"/>
      <c r="K228" s="16"/>
      <c r="L228" s="4"/>
      <c r="M228" s="19"/>
      <c r="N228" s="4"/>
      <c r="O228" s="16"/>
      <c r="P228" s="4"/>
      <c r="Q228" s="4"/>
      <c r="R228" s="4"/>
      <c r="S228" s="4"/>
    </row>
    <row r="229" spans="1:19" ht="15.75" customHeight="1" x14ac:dyDescent="0.2">
      <c r="A229" s="16"/>
      <c r="B229" s="4"/>
      <c r="C229" s="16"/>
      <c r="D229" s="4"/>
      <c r="E229" s="16"/>
      <c r="F229" s="16"/>
      <c r="G229" s="4"/>
      <c r="H229" s="4"/>
      <c r="I229" s="16"/>
      <c r="J229" s="4"/>
      <c r="K229" s="16"/>
      <c r="L229" s="4"/>
      <c r="M229" s="19"/>
      <c r="N229" s="4"/>
      <c r="O229" s="16"/>
      <c r="P229" s="4"/>
      <c r="Q229" s="4"/>
      <c r="R229" s="4"/>
      <c r="S229" s="4"/>
    </row>
    <row r="230" spans="1:19" ht="15.75" customHeight="1" x14ac:dyDescent="0.2">
      <c r="A230" s="16"/>
      <c r="B230" s="4"/>
      <c r="C230" s="16"/>
      <c r="D230" s="4"/>
      <c r="E230" s="16"/>
      <c r="F230" s="16"/>
      <c r="G230" s="4"/>
      <c r="H230" s="4"/>
      <c r="I230" s="16"/>
      <c r="J230" s="4"/>
      <c r="K230" s="16"/>
      <c r="L230" s="4"/>
      <c r="M230" s="19"/>
      <c r="N230" s="4"/>
      <c r="O230" s="16"/>
      <c r="P230" s="4"/>
      <c r="Q230" s="4"/>
      <c r="R230" s="4"/>
      <c r="S230" s="4"/>
    </row>
    <row r="231" spans="1:19" ht="15.75" customHeight="1" x14ac:dyDescent="0.2">
      <c r="A231" s="16"/>
      <c r="B231" s="4"/>
      <c r="C231" s="16"/>
      <c r="D231" s="4"/>
      <c r="E231" s="16"/>
      <c r="F231" s="16"/>
      <c r="G231" s="4"/>
      <c r="H231" s="4"/>
      <c r="I231" s="16"/>
      <c r="J231" s="4"/>
      <c r="K231" s="16"/>
      <c r="L231" s="4"/>
      <c r="M231" s="19"/>
      <c r="N231" s="4"/>
      <c r="O231" s="16"/>
      <c r="P231" s="4"/>
      <c r="Q231" s="4"/>
      <c r="R231" s="4"/>
      <c r="S231" s="4"/>
    </row>
    <row r="232" spans="1:19" ht="15.75" customHeight="1" x14ac:dyDescent="0.2">
      <c r="A232" s="16"/>
      <c r="B232" s="4"/>
      <c r="C232" s="16"/>
      <c r="D232" s="4"/>
      <c r="E232" s="16"/>
      <c r="F232" s="16"/>
      <c r="G232" s="4"/>
      <c r="H232" s="4"/>
      <c r="I232" s="16"/>
      <c r="J232" s="4"/>
      <c r="K232" s="16"/>
      <c r="L232" s="4"/>
      <c r="M232" s="19"/>
      <c r="N232" s="4"/>
      <c r="O232" s="16"/>
      <c r="P232" s="4"/>
      <c r="Q232" s="4"/>
      <c r="R232" s="4"/>
      <c r="S232" s="4"/>
    </row>
    <row r="233" spans="1:19" ht="15.75" customHeight="1" x14ac:dyDescent="0.2">
      <c r="A233" s="16"/>
      <c r="B233" s="4"/>
      <c r="C233" s="16"/>
      <c r="D233" s="4"/>
      <c r="E233" s="16"/>
      <c r="F233" s="16"/>
      <c r="G233" s="4"/>
      <c r="H233" s="4"/>
      <c r="I233" s="16"/>
      <c r="J233" s="4"/>
      <c r="K233" s="16"/>
      <c r="L233" s="4"/>
      <c r="M233" s="19"/>
      <c r="N233" s="4"/>
      <c r="O233" s="16"/>
      <c r="P233" s="4"/>
      <c r="Q233" s="4"/>
      <c r="R233" s="4"/>
      <c r="S233" s="4"/>
    </row>
    <row r="234" spans="1:19" ht="15.75" customHeight="1" x14ac:dyDescent="0.2">
      <c r="A234" s="16"/>
      <c r="B234" s="4"/>
      <c r="C234" s="16"/>
      <c r="D234" s="4"/>
      <c r="E234" s="16"/>
      <c r="F234" s="16"/>
      <c r="G234" s="4"/>
      <c r="H234" s="4"/>
      <c r="I234" s="16"/>
      <c r="J234" s="4"/>
      <c r="K234" s="16"/>
      <c r="L234" s="4"/>
      <c r="M234" s="19"/>
      <c r="N234" s="4"/>
      <c r="O234" s="16"/>
      <c r="P234" s="4"/>
      <c r="Q234" s="4"/>
      <c r="R234" s="4"/>
      <c r="S234" s="4"/>
    </row>
    <row r="235" spans="1:19" ht="15.75" customHeight="1" x14ac:dyDescent="0.2">
      <c r="A235" s="16"/>
      <c r="B235" s="4"/>
      <c r="C235" s="16"/>
      <c r="D235" s="4"/>
      <c r="E235" s="16"/>
      <c r="F235" s="16"/>
      <c r="G235" s="4"/>
      <c r="H235" s="4"/>
      <c r="I235" s="16"/>
      <c r="J235" s="4"/>
      <c r="K235" s="16"/>
      <c r="L235" s="4"/>
      <c r="M235" s="19"/>
      <c r="N235" s="4"/>
      <c r="O235" s="16"/>
      <c r="P235" s="4"/>
      <c r="Q235" s="4"/>
      <c r="R235" s="4"/>
      <c r="S235" s="4"/>
    </row>
    <row r="236" spans="1:19" ht="15.75" customHeight="1" x14ac:dyDescent="0.2">
      <c r="A236" s="16"/>
      <c r="B236" s="4"/>
      <c r="C236" s="16"/>
      <c r="D236" s="4"/>
      <c r="E236" s="16"/>
      <c r="F236" s="16"/>
      <c r="G236" s="4"/>
      <c r="H236" s="4"/>
      <c r="I236" s="16"/>
      <c r="J236" s="4"/>
      <c r="K236" s="16"/>
      <c r="L236" s="4"/>
      <c r="M236" s="19"/>
      <c r="N236" s="4"/>
      <c r="O236" s="16"/>
      <c r="P236" s="4"/>
      <c r="Q236" s="4"/>
      <c r="R236" s="4"/>
      <c r="S236" s="4"/>
    </row>
    <row r="237" spans="1:19" ht="15.75" customHeight="1" x14ac:dyDescent="0.2">
      <c r="A237" s="16"/>
      <c r="B237" s="4"/>
      <c r="C237" s="16"/>
      <c r="D237" s="4"/>
      <c r="E237" s="16"/>
      <c r="F237" s="16"/>
      <c r="G237" s="4"/>
      <c r="H237" s="4"/>
      <c r="I237" s="16"/>
      <c r="J237" s="4"/>
      <c r="K237" s="16"/>
      <c r="L237" s="4"/>
      <c r="M237" s="19"/>
      <c r="N237" s="4"/>
      <c r="O237" s="16"/>
      <c r="P237" s="4"/>
      <c r="Q237" s="4"/>
      <c r="R237" s="4"/>
      <c r="S237" s="4"/>
    </row>
    <row r="238" spans="1:19" ht="15.75" customHeight="1" x14ac:dyDescent="0.2">
      <c r="A238" s="16"/>
      <c r="B238" s="4"/>
      <c r="C238" s="16"/>
      <c r="D238" s="4"/>
      <c r="E238" s="16"/>
      <c r="F238" s="16"/>
      <c r="G238" s="4"/>
      <c r="H238" s="4"/>
      <c r="I238" s="16"/>
      <c r="J238" s="4"/>
      <c r="K238" s="16"/>
      <c r="L238" s="4"/>
      <c r="M238" s="19"/>
      <c r="N238" s="4"/>
      <c r="O238" s="16"/>
      <c r="P238" s="4"/>
      <c r="Q238" s="4"/>
      <c r="R238" s="4"/>
      <c r="S238" s="4"/>
    </row>
    <row r="239" spans="1:19" ht="15.75" customHeight="1" x14ac:dyDescent="0.2">
      <c r="A239" s="16"/>
      <c r="B239" s="4"/>
      <c r="C239" s="16"/>
      <c r="D239" s="4"/>
      <c r="E239" s="16"/>
      <c r="F239" s="16"/>
      <c r="G239" s="4"/>
      <c r="H239" s="4"/>
      <c r="I239" s="16"/>
      <c r="J239" s="4"/>
      <c r="K239" s="16"/>
      <c r="L239" s="4"/>
      <c r="M239" s="19"/>
      <c r="N239" s="4"/>
      <c r="O239" s="16"/>
      <c r="P239" s="4"/>
      <c r="Q239" s="4"/>
      <c r="R239" s="4"/>
      <c r="S239" s="4"/>
    </row>
    <row r="240" spans="1:19" ht="15.75" customHeight="1" x14ac:dyDescent="0.2">
      <c r="A240" s="16"/>
      <c r="B240" s="4"/>
      <c r="C240" s="16"/>
      <c r="D240" s="4"/>
      <c r="E240" s="16"/>
      <c r="F240" s="16"/>
      <c r="G240" s="4"/>
      <c r="H240" s="4"/>
      <c r="I240" s="16"/>
      <c r="J240" s="4"/>
      <c r="K240" s="16"/>
      <c r="L240" s="4"/>
      <c r="M240" s="19"/>
      <c r="N240" s="4"/>
      <c r="O240" s="16"/>
      <c r="P240" s="4"/>
      <c r="Q240" s="4"/>
      <c r="R240" s="4"/>
      <c r="S240" s="4"/>
    </row>
    <row r="241" spans="1:19" ht="15.75" customHeight="1" x14ac:dyDescent="0.2">
      <c r="A241" s="16"/>
      <c r="B241" s="4"/>
      <c r="C241" s="16"/>
      <c r="D241" s="4"/>
      <c r="E241" s="16"/>
      <c r="F241" s="16"/>
      <c r="G241" s="4"/>
      <c r="H241" s="4"/>
      <c r="I241" s="16"/>
      <c r="J241" s="4"/>
      <c r="K241" s="16"/>
      <c r="L241" s="4"/>
      <c r="M241" s="19"/>
      <c r="N241" s="4"/>
      <c r="O241" s="16"/>
      <c r="P241" s="4"/>
      <c r="Q241" s="4"/>
      <c r="R241" s="4"/>
      <c r="S241" s="4"/>
    </row>
    <row r="242" spans="1:19" ht="15.75" customHeight="1" x14ac:dyDescent="0.2">
      <c r="A242" s="16"/>
      <c r="B242" s="4"/>
      <c r="C242" s="16"/>
      <c r="D242" s="4"/>
      <c r="E242" s="16"/>
      <c r="F242" s="16"/>
      <c r="G242" s="4"/>
      <c r="H242" s="4"/>
      <c r="I242" s="16"/>
      <c r="J242" s="4"/>
      <c r="K242" s="16"/>
      <c r="L242" s="4"/>
      <c r="M242" s="19"/>
      <c r="N242" s="4"/>
      <c r="O242" s="16"/>
      <c r="P242" s="4"/>
      <c r="Q242" s="4"/>
      <c r="R242" s="4"/>
      <c r="S242" s="4"/>
    </row>
    <row r="243" spans="1:19" ht="15.75" customHeight="1" x14ac:dyDescent="0.2">
      <c r="A243" s="16"/>
      <c r="B243" s="4"/>
      <c r="C243" s="16"/>
      <c r="D243" s="4"/>
      <c r="E243" s="16"/>
      <c r="F243" s="16"/>
      <c r="G243" s="4"/>
      <c r="H243" s="4"/>
      <c r="I243" s="16"/>
      <c r="J243" s="4"/>
      <c r="K243" s="16"/>
      <c r="L243" s="4"/>
      <c r="M243" s="19"/>
      <c r="N243" s="4"/>
      <c r="O243" s="16"/>
      <c r="P243" s="4"/>
      <c r="Q243" s="4"/>
      <c r="R243" s="4"/>
      <c r="S243" s="4"/>
    </row>
    <row r="244" spans="1:19" ht="15.75" customHeight="1" x14ac:dyDescent="0.2">
      <c r="A244" s="16"/>
      <c r="B244" s="4"/>
      <c r="C244" s="16"/>
      <c r="D244" s="4"/>
      <c r="E244" s="16"/>
      <c r="F244" s="16"/>
      <c r="G244" s="4"/>
      <c r="H244" s="4"/>
      <c r="I244" s="16"/>
      <c r="J244" s="4"/>
      <c r="K244" s="16"/>
      <c r="L244" s="4"/>
      <c r="M244" s="19"/>
      <c r="N244" s="4"/>
      <c r="O244" s="16"/>
      <c r="P244" s="4"/>
      <c r="Q244" s="4"/>
      <c r="R244" s="4"/>
      <c r="S244" s="4"/>
    </row>
    <row r="245" spans="1:19" ht="15.75" customHeight="1" x14ac:dyDescent="0.2">
      <c r="A245" s="16"/>
      <c r="B245" s="4"/>
      <c r="C245" s="16"/>
      <c r="D245" s="4"/>
      <c r="E245" s="16"/>
      <c r="F245" s="16"/>
      <c r="G245" s="4"/>
      <c r="H245" s="4"/>
      <c r="I245" s="16"/>
      <c r="J245" s="4"/>
      <c r="K245" s="16"/>
      <c r="L245" s="4"/>
      <c r="M245" s="19"/>
      <c r="N245" s="4"/>
      <c r="O245" s="16"/>
      <c r="P245" s="4"/>
      <c r="Q245" s="4"/>
      <c r="R245" s="4"/>
      <c r="S245" s="4"/>
    </row>
    <row r="246" spans="1:19" ht="15.75" customHeight="1" x14ac:dyDescent="0.2">
      <c r="A246" s="16"/>
      <c r="B246" s="4"/>
      <c r="C246" s="16"/>
      <c r="D246" s="4"/>
      <c r="E246" s="16"/>
      <c r="F246" s="16"/>
      <c r="G246" s="4"/>
      <c r="H246" s="4"/>
      <c r="I246" s="16"/>
      <c r="J246" s="4"/>
      <c r="K246" s="16"/>
      <c r="L246" s="4"/>
      <c r="M246" s="19"/>
      <c r="N246" s="4"/>
      <c r="O246" s="16"/>
      <c r="P246" s="4"/>
      <c r="Q246" s="4"/>
      <c r="R246" s="4"/>
      <c r="S246" s="4"/>
    </row>
    <row r="247" spans="1:19" ht="15.75" customHeight="1" x14ac:dyDescent="0.2">
      <c r="A247" s="16"/>
      <c r="B247" s="4"/>
      <c r="C247" s="16"/>
      <c r="D247" s="4"/>
      <c r="E247" s="16"/>
      <c r="F247" s="16"/>
      <c r="G247" s="4"/>
      <c r="H247" s="4"/>
      <c r="I247" s="16"/>
      <c r="J247" s="4"/>
      <c r="K247" s="16"/>
      <c r="L247" s="4"/>
      <c r="M247" s="19"/>
      <c r="N247" s="4"/>
      <c r="O247" s="16"/>
      <c r="P247" s="4"/>
      <c r="Q247" s="4"/>
      <c r="R247" s="4"/>
      <c r="S247" s="4"/>
    </row>
    <row r="248" spans="1:19" ht="15.75" customHeight="1" x14ac:dyDescent="0.2">
      <c r="A248" s="16"/>
      <c r="B248" s="4"/>
      <c r="C248" s="16"/>
      <c r="D248" s="4"/>
      <c r="E248" s="16"/>
      <c r="F248" s="16"/>
      <c r="G248" s="4"/>
      <c r="H248" s="4"/>
      <c r="I248" s="16"/>
      <c r="J248" s="4"/>
      <c r="K248" s="16"/>
      <c r="L248" s="4"/>
      <c r="M248" s="19"/>
      <c r="N248" s="4"/>
      <c r="O248" s="16"/>
      <c r="P248" s="4"/>
      <c r="Q248" s="4"/>
      <c r="R248" s="4"/>
      <c r="S248" s="4"/>
    </row>
    <row r="249" spans="1:19" ht="15.75" customHeight="1" x14ac:dyDescent="0.2">
      <c r="A249" s="16"/>
      <c r="B249" s="4"/>
      <c r="C249" s="16"/>
      <c r="D249" s="4"/>
      <c r="E249" s="16"/>
      <c r="F249" s="16"/>
      <c r="G249" s="4"/>
      <c r="H249" s="4"/>
      <c r="I249" s="16"/>
      <c r="J249" s="4"/>
      <c r="K249" s="16"/>
      <c r="L249" s="4"/>
      <c r="M249" s="19"/>
      <c r="N249" s="4"/>
      <c r="O249" s="16"/>
      <c r="P249" s="4"/>
      <c r="Q249" s="4"/>
      <c r="R249" s="4"/>
      <c r="S249" s="4"/>
    </row>
    <row r="250" spans="1:19" ht="15.75" customHeight="1" x14ac:dyDescent="0.2">
      <c r="A250" s="16"/>
      <c r="B250" s="4"/>
      <c r="C250" s="16"/>
      <c r="D250" s="4"/>
      <c r="E250" s="16"/>
      <c r="F250" s="16"/>
      <c r="G250" s="4"/>
      <c r="H250" s="4"/>
      <c r="I250" s="16"/>
      <c r="J250" s="4"/>
      <c r="K250" s="16"/>
      <c r="L250" s="4"/>
      <c r="M250" s="19"/>
      <c r="N250" s="4"/>
      <c r="O250" s="16"/>
      <c r="P250" s="4"/>
      <c r="Q250" s="4"/>
      <c r="R250" s="4"/>
      <c r="S250" s="4"/>
    </row>
    <row r="251" spans="1:19" ht="15.75" customHeight="1" x14ac:dyDescent="0.2">
      <c r="A251" s="16"/>
      <c r="B251" s="4"/>
      <c r="C251" s="16"/>
      <c r="D251" s="4"/>
      <c r="E251" s="16"/>
      <c r="F251" s="16"/>
      <c r="G251" s="4"/>
      <c r="H251" s="4"/>
      <c r="I251" s="16"/>
      <c r="J251" s="4"/>
      <c r="K251" s="16"/>
      <c r="L251" s="4"/>
      <c r="M251" s="19"/>
      <c r="N251" s="4"/>
      <c r="O251" s="16"/>
      <c r="P251" s="4"/>
      <c r="Q251" s="4"/>
      <c r="R251" s="4"/>
      <c r="S251" s="4"/>
    </row>
    <row r="252" spans="1:19" ht="15.75" customHeight="1" x14ac:dyDescent="0.2">
      <c r="A252" s="16"/>
      <c r="B252" s="4"/>
      <c r="C252" s="16"/>
      <c r="D252" s="4"/>
      <c r="E252" s="16"/>
      <c r="F252" s="16"/>
      <c r="G252" s="4"/>
      <c r="H252" s="4"/>
      <c r="I252" s="16"/>
      <c r="J252" s="4"/>
      <c r="K252" s="16"/>
      <c r="L252" s="4"/>
      <c r="M252" s="19"/>
      <c r="N252" s="4"/>
      <c r="O252" s="16"/>
      <c r="P252" s="4"/>
      <c r="Q252" s="4"/>
      <c r="R252" s="4"/>
      <c r="S252" s="4"/>
    </row>
    <row r="253" spans="1:19" ht="15.75" customHeight="1" x14ac:dyDescent="0.2">
      <c r="A253" s="16"/>
      <c r="B253" s="4"/>
      <c r="C253" s="16"/>
      <c r="D253" s="4"/>
      <c r="E253" s="16"/>
      <c r="F253" s="16"/>
      <c r="G253" s="4"/>
      <c r="H253" s="4"/>
      <c r="I253" s="16"/>
      <c r="J253" s="4"/>
      <c r="K253" s="16"/>
      <c r="L253" s="4"/>
      <c r="M253" s="19"/>
      <c r="N253" s="4"/>
      <c r="O253" s="16"/>
      <c r="P253" s="4"/>
      <c r="Q253" s="4"/>
      <c r="R253" s="4"/>
      <c r="S253" s="4"/>
    </row>
    <row r="254" spans="1:19" ht="15.75" customHeight="1" x14ac:dyDescent="0.2">
      <c r="A254" s="16"/>
      <c r="B254" s="4"/>
      <c r="C254" s="16"/>
      <c r="D254" s="4"/>
      <c r="E254" s="16"/>
      <c r="F254" s="16"/>
      <c r="G254" s="4"/>
      <c r="H254" s="4"/>
      <c r="I254" s="16"/>
      <c r="J254" s="4"/>
      <c r="K254" s="16"/>
      <c r="L254" s="4"/>
      <c r="M254" s="19"/>
      <c r="N254" s="4"/>
      <c r="O254" s="16"/>
      <c r="P254" s="4"/>
      <c r="Q254" s="4"/>
      <c r="R254" s="4"/>
      <c r="S254" s="4"/>
    </row>
    <row r="255" spans="1:19" ht="15.75" customHeight="1" x14ac:dyDescent="0.2">
      <c r="A255" s="16"/>
      <c r="B255" s="4"/>
      <c r="C255" s="16"/>
      <c r="D255" s="4"/>
      <c r="E255" s="16"/>
      <c r="F255" s="16"/>
      <c r="G255" s="4"/>
      <c r="H255" s="4"/>
      <c r="I255" s="16"/>
      <c r="J255" s="4"/>
      <c r="K255" s="16"/>
      <c r="L255" s="4"/>
      <c r="M255" s="19"/>
      <c r="N255" s="4"/>
      <c r="O255" s="16"/>
      <c r="P255" s="4"/>
      <c r="Q255" s="4"/>
      <c r="R255" s="4"/>
      <c r="S255" s="4"/>
    </row>
    <row r="256" spans="1:19" ht="15.75" customHeight="1" x14ac:dyDescent="0.2">
      <c r="A256" s="16"/>
      <c r="B256" s="4"/>
      <c r="C256" s="16"/>
      <c r="D256" s="4"/>
      <c r="E256" s="16"/>
      <c r="F256" s="16"/>
      <c r="G256" s="4"/>
      <c r="H256" s="4"/>
      <c r="I256" s="16"/>
      <c r="J256" s="4"/>
      <c r="K256" s="16"/>
      <c r="L256" s="4"/>
      <c r="M256" s="19"/>
      <c r="N256" s="4"/>
      <c r="O256" s="16"/>
      <c r="P256" s="4"/>
      <c r="Q256" s="4"/>
      <c r="R256" s="4"/>
      <c r="S256" s="4"/>
    </row>
    <row r="257" spans="1:19" ht="15.75" customHeight="1" x14ac:dyDescent="0.2">
      <c r="A257" s="16"/>
      <c r="B257" s="4"/>
      <c r="C257" s="16"/>
      <c r="D257" s="4"/>
      <c r="E257" s="16"/>
      <c r="F257" s="16"/>
      <c r="G257" s="4"/>
      <c r="H257" s="4"/>
      <c r="I257" s="16"/>
      <c r="J257" s="4"/>
      <c r="K257" s="16"/>
      <c r="L257" s="4"/>
      <c r="M257" s="19"/>
      <c r="N257" s="4"/>
      <c r="O257" s="16"/>
      <c r="P257" s="4"/>
      <c r="Q257" s="4"/>
      <c r="R257" s="4"/>
      <c r="S257" s="4"/>
    </row>
    <row r="258" spans="1:19" ht="15.75" customHeight="1" x14ac:dyDescent="0.2">
      <c r="A258" s="16"/>
      <c r="B258" s="4"/>
      <c r="C258" s="16"/>
      <c r="D258" s="4"/>
      <c r="E258" s="16"/>
      <c r="F258" s="16"/>
      <c r="G258" s="4"/>
      <c r="H258" s="4"/>
      <c r="I258" s="16"/>
      <c r="J258" s="4"/>
      <c r="K258" s="16"/>
      <c r="L258" s="4"/>
      <c r="M258" s="19"/>
      <c r="N258" s="4"/>
      <c r="O258" s="16"/>
      <c r="P258" s="4"/>
      <c r="Q258" s="4"/>
      <c r="R258" s="4"/>
      <c r="S258" s="4"/>
    </row>
    <row r="259" spans="1:19" ht="15.75" customHeight="1" x14ac:dyDescent="0.2">
      <c r="A259" s="16"/>
      <c r="B259" s="4"/>
      <c r="C259" s="16"/>
      <c r="D259" s="4"/>
      <c r="E259" s="16"/>
      <c r="F259" s="16"/>
      <c r="G259" s="4"/>
      <c r="H259" s="4"/>
      <c r="I259" s="16"/>
      <c r="J259" s="4"/>
      <c r="K259" s="16"/>
      <c r="L259" s="4"/>
      <c r="M259" s="19"/>
      <c r="N259" s="4"/>
      <c r="O259" s="16"/>
      <c r="P259" s="4"/>
      <c r="Q259" s="4"/>
      <c r="R259" s="4"/>
      <c r="S259" s="4"/>
    </row>
    <row r="260" spans="1:19" ht="15.75" customHeight="1" x14ac:dyDescent="0.2">
      <c r="A260" s="16"/>
      <c r="B260" s="4"/>
      <c r="C260" s="16"/>
      <c r="D260" s="4"/>
      <c r="E260" s="16"/>
      <c r="F260" s="16"/>
      <c r="G260" s="4"/>
      <c r="H260" s="4"/>
      <c r="I260" s="16"/>
      <c r="J260" s="4"/>
      <c r="K260" s="16"/>
      <c r="L260" s="4"/>
      <c r="M260" s="19"/>
      <c r="N260" s="4"/>
      <c r="O260" s="16"/>
      <c r="P260" s="4"/>
      <c r="Q260" s="4"/>
      <c r="R260" s="4"/>
      <c r="S260" s="4"/>
    </row>
    <row r="261" spans="1:19" ht="15.75" customHeight="1" x14ac:dyDescent="0.2">
      <c r="A261" s="16"/>
      <c r="B261" s="4"/>
      <c r="C261" s="16"/>
      <c r="D261" s="4"/>
      <c r="E261" s="16"/>
      <c r="F261" s="16"/>
      <c r="G261" s="4"/>
      <c r="H261" s="4"/>
      <c r="I261" s="16"/>
      <c r="J261" s="4"/>
      <c r="K261" s="16"/>
      <c r="L261" s="4"/>
      <c r="M261" s="19"/>
      <c r="N261" s="4"/>
      <c r="O261" s="16"/>
      <c r="P261" s="4"/>
      <c r="Q261" s="4"/>
      <c r="R261" s="4"/>
      <c r="S261" s="4"/>
    </row>
    <row r="262" spans="1:19" ht="15.75" customHeight="1" x14ac:dyDescent="0.2">
      <c r="A262" s="16"/>
      <c r="B262" s="4"/>
      <c r="C262" s="16"/>
      <c r="D262" s="4"/>
      <c r="E262" s="16"/>
      <c r="F262" s="16"/>
      <c r="G262" s="4"/>
      <c r="H262" s="4"/>
      <c r="I262" s="16"/>
      <c r="J262" s="4"/>
      <c r="K262" s="16"/>
      <c r="L262" s="4"/>
      <c r="M262" s="19"/>
      <c r="N262" s="4"/>
      <c r="O262" s="16"/>
      <c r="P262" s="4"/>
      <c r="Q262" s="4"/>
      <c r="R262" s="4"/>
      <c r="S262" s="4"/>
    </row>
    <row r="263" spans="1:19" ht="15.75" customHeight="1" x14ac:dyDescent="0.2">
      <c r="A263" s="16"/>
      <c r="B263" s="4"/>
      <c r="C263" s="16"/>
      <c r="D263" s="4"/>
      <c r="E263" s="16"/>
      <c r="F263" s="16"/>
      <c r="G263" s="4"/>
      <c r="H263" s="4"/>
      <c r="I263" s="16"/>
      <c r="J263" s="4"/>
      <c r="K263" s="16"/>
      <c r="L263" s="4"/>
      <c r="M263" s="19"/>
      <c r="N263" s="4"/>
      <c r="O263" s="16"/>
      <c r="P263" s="4"/>
      <c r="Q263" s="4"/>
      <c r="R263" s="4"/>
      <c r="S263" s="4"/>
    </row>
    <row r="264" spans="1:19" ht="15.75" customHeight="1" x14ac:dyDescent="0.2">
      <c r="A264" s="16"/>
      <c r="B264" s="4"/>
      <c r="C264" s="16"/>
      <c r="D264" s="4"/>
      <c r="E264" s="16"/>
      <c r="F264" s="16"/>
      <c r="G264" s="4"/>
      <c r="H264" s="4"/>
      <c r="I264" s="16"/>
      <c r="J264" s="4"/>
      <c r="K264" s="16"/>
      <c r="L264" s="4"/>
      <c r="M264" s="19"/>
      <c r="N264" s="4"/>
      <c r="O264" s="16"/>
      <c r="P264" s="4"/>
      <c r="Q264" s="4"/>
      <c r="R264" s="4"/>
      <c r="S264" s="4"/>
    </row>
    <row r="265" spans="1:19" ht="15.75" customHeight="1" x14ac:dyDescent="0.2">
      <c r="A265" s="16"/>
      <c r="B265" s="4"/>
      <c r="C265" s="16"/>
      <c r="D265" s="4"/>
      <c r="E265" s="16"/>
      <c r="F265" s="16"/>
      <c r="G265" s="4"/>
      <c r="H265" s="4"/>
      <c r="I265" s="16"/>
      <c r="J265" s="4"/>
      <c r="K265" s="16"/>
      <c r="L265" s="4"/>
      <c r="M265" s="19"/>
      <c r="N265" s="4"/>
      <c r="O265" s="16"/>
      <c r="P265" s="4"/>
      <c r="Q265" s="4"/>
      <c r="R265" s="4"/>
      <c r="S265" s="4"/>
    </row>
    <row r="266" spans="1:19" ht="15.75" customHeight="1" x14ac:dyDescent="0.2">
      <c r="A266" s="16"/>
      <c r="B266" s="4"/>
      <c r="C266" s="16"/>
      <c r="D266" s="4"/>
      <c r="E266" s="16"/>
      <c r="F266" s="16"/>
      <c r="G266" s="4"/>
      <c r="H266" s="4"/>
      <c r="I266" s="16"/>
      <c r="J266" s="4"/>
      <c r="K266" s="16"/>
      <c r="L266" s="4"/>
      <c r="M266" s="19"/>
      <c r="N266" s="4"/>
      <c r="O266" s="16"/>
      <c r="P266" s="4"/>
      <c r="Q266" s="4"/>
      <c r="R266" s="4"/>
      <c r="S266" s="4"/>
    </row>
    <row r="267" spans="1:19" ht="15.75" customHeight="1" x14ac:dyDescent="0.2">
      <c r="A267" s="16"/>
      <c r="B267" s="4"/>
      <c r="C267" s="16"/>
      <c r="D267" s="4"/>
      <c r="E267" s="16"/>
      <c r="F267" s="16"/>
      <c r="G267" s="4"/>
      <c r="H267" s="4"/>
      <c r="I267" s="16"/>
      <c r="J267" s="4"/>
      <c r="K267" s="16"/>
      <c r="L267" s="4"/>
      <c r="M267" s="19"/>
      <c r="N267" s="4"/>
      <c r="O267" s="16"/>
      <c r="P267" s="4"/>
      <c r="Q267" s="4"/>
      <c r="R267" s="4"/>
      <c r="S267" s="4"/>
    </row>
    <row r="268" spans="1:19" ht="15.75" customHeight="1" x14ac:dyDescent="0.2">
      <c r="A268" s="16"/>
      <c r="B268" s="4"/>
      <c r="C268" s="16"/>
      <c r="D268" s="4"/>
      <c r="E268" s="16"/>
      <c r="F268" s="16"/>
      <c r="G268" s="4"/>
      <c r="H268" s="4"/>
      <c r="I268" s="16"/>
      <c r="J268" s="4"/>
      <c r="K268" s="16"/>
      <c r="L268" s="4"/>
      <c r="M268" s="19"/>
      <c r="N268" s="4"/>
      <c r="O268" s="16"/>
      <c r="P268" s="4"/>
      <c r="Q268" s="4"/>
      <c r="R268" s="4"/>
      <c r="S268" s="4"/>
    </row>
    <row r="269" spans="1:19" ht="15.75" customHeight="1" x14ac:dyDescent="0.2">
      <c r="A269" s="16"/>
      <c r="B269" s="4"/>
      <c r="C269" s="16"/>
      <c r="D269" s="4"/>
      <c r="E269" s="16"/>
      <c r="F269" s="16"/>
      <c r="G269" s="4"/>
      <c r="H269" s="4"/>
      <c r="I269" s="16"/>
      <c r="J269" s="4"/>
      <c r="K269" s="16"/>
      <c r="L269" s="4"/>
      <c r="M269" s="19"/>
      <c r="N269" s="4"/>
      <c r="O269" s="16"/>
      <c r="P269" s="4"/>
      <c r="Q269" s="4"/>
      <c r="R269" s="4"/>
      <c r="S269" s="4"/>
    </row>
    <row r="270" spans="1:19" ht="15.75" customHeight="1" x14ac:dyDescent="0.2">
      <c r="A270" s="16"/>
      <c r="B270" s="4"/>
      <c r="C270" s="16"/>
      <c r="D270" s="4"/>
      <c r="E270" s="16"/>
      <c r="F270" s="16"/>
      <c r="G270" s="4"/>
      <c r="H270" s="4"/>
      <c r="I270" s="16"/>
      <c r="J270" s="4"/>
      <c r="K270" s="16"/>
      <c r="L270" s="4"/>
      <c r="M270" s="19"/>
      <c r="N270" s="4"/>
      <c r="O270" s="16"/>
      <c r="P270" s="4"/>
      <c r="Q270" s="4"/>
      <c r="R270" s="4"/>
      <c r="S270" s="4"/>
    </row>
    <row r="271" spans="1:19" ht="15.75" customHeight="1" x14ac:dyDescent="0.2">
      <c r="A271" s="16"/>
      <c r="B271" s="4"/>
      <c r="C271" s="16"/>
      <c r="D271" s="4"/>
      <c r="E271" s="16"/>
      <c r="F271" s="16"/>
      <c r="G271" s="4"/>
      <c r="H271" s="4"/>
      <c r="I271" s="16"/>
      <c r="J271" s="4"/>
      <c r="K271" s="16"/>
      <c r="L271" s="4"/>
      <c r="M271" s="19"/>
      <c r="N271" s="4"/>
      <c r="O271" s="16"/>
      <c r="P271" s="4"/>
      <c r="Q271" s="4"/>
      <c r="R271" s="4"/>
      <c r="S271" s="4"/>
    </row>
    <row r="272" spans="1:19" ht="15.75" customHeight="1" x14ac:dyDescent="0.2">
      <c r="A272" s="16"/>
      <c r="B272" s="4"/>
      <c r="C272" s="16"/>
      <c r="D272" s="4"/>
      <c r="E272" s="16"/>
      <c r="F272" s="16"/>
      <c r="G272" s="4"/>
      <c r="H272" s="4"/>
      <c r="I272" s="16"/>
      <c r="J272" s="4"/>
      <c r="K272" s="16"/>
      <c r="L272" s="4"/>
      <c r="M272" s="19"/>
      <c r="N272" s="4"/>
      <c r="O272" s="16"/>
      <c r="P272" s="4"/>
      <c r="Q272" s="4"/>
      <c r="R272" s="4"/>
      <c r="S272" s="4"/>
    </row>
    <row r="273" spans="1:19" ht="15.75" customHeight="1" x14ac:dyDescent="0.2">
      <c r="A273" s="16"/>
      <c r="B273" s="4"/>
      <c r="C273" s="16"/>
      <c r="D273" s="4"/>
      <c r="E273" s="16"/>
      <c r="F273" s="16"/>
      <c r="G273" s="4"/>
      <c r="H273" s="4"/>
      <c r="I273" s="16"/>
      <c r="J273" s="4"/>
      <c r="K273" s="16"/>
      <c r="L273" s="4"/>
      <c r="M273" s="19"/>
      <c r="N273" s="4"/>
      <c r="O273" s="16"/>
      <c r="P273" s="4"/>
      <c r="Q273" s="4"/>
      <c r="R273" s="4"/>
      <c r="S273" s="4"/>
    </row>
    <row r="274" spans="1:19" ht="15.75" customHeight="1" x14ac:dyDescent="0.2">
      <c r="A274" s="16"/>
      <c r="B274" s="4"/>
      <c r="C274" s="16"/>
      <c r="D274" s="4"/>
      <c r="E274" s="16"/>
      <c r="F274" s="16"/>
      <c r="G274" s="4"/>
      <c r="H274" s="4"/>
      <c r="I274" s="16"/>
      <c r="J274" s="4"/>
      <c r="K274" s="16"/>
      <c r="L274" s="4"/>
      <c r="M274" s="19"/>
      <c r="N274" s="4"/>
      <c r="O274" s="16"/>
      <c r="P274" s="4"/>
      <c r="Q274" s="4"/>
      <c r="R274" s="4"/>
      <c r="S274" s="4"/>
    </row>
    <row r="275" spans="1:19" ht="15.75" customHeight="1" x14ac:dyDescent="0.2">
      <c r="A275" s="16"/>
      <c r="B275" s="4"/>
      <c r="C275" s="16"/>
      <c r="D275" s="4"/>
      <c r="E275" s="16"/>
      <c r="F275" s="16"/>
      <c r="G275" s="4"/>
      <c r="H275" s="4"/>
      <c r="I275" s="16"/>
      <c r="J275" s="4"/>
      <c r="K275" s="16"/>
      <c r="L275" s="4"/>
      <c r="M275" s="19"/>
      <c r="N275" s="4"/>
      <c r="O275" s="16"/>
      <c r="P275" s="4"/>
      <c r="Q275" s="4"/>
      <c r="R275" s="4"/>
      <c r="S275" s="4"/>
    </row>
    <row r="276" spans="1:19" ht="15.75" customHeight="1" x14ac:dyDescent="0.2">
      <c r="A276" s="16"/>
      <c r="B276" s="4"/>
      <c r="C276" s="16"/>
      <c r="D276" s="4"/>
      <c r="E276" s="16"/>
      <c r="F276" s="16"/>
      <c r="G276" s="4"/>
      <c r="H276" s="4"/>
      <c r="I276" s="16"/>
      <c r="J276" s="4"/>
      <c r="K276" s="16"/>
      <c r="L276" s="4"/>
      <c r="M276" s="19"/>
      <c r="N276" s="4"/>
      <c r="O276" s="16"/>
      <c r="P276" s="4"/>
      <c r="Q276" s="4"/>
      <c r="R276" s="4"/>
      <c r="S276" s="4"/>
    </row>
    <row r="277" spans="1:19" ht="15.75" customHeight="1" x14ac:dyDescent="0.2">
      <c r="A277" s="16"/>
      <c r="B277" s="4"/>
      <c r="C277" s="16"/>
      <c r="D277" s="4"/>
      <c r="E277" s="16"/>
      <c r="F277" s="16"/>
      <c r="G277" s="4"/>
      <c r="H277" s="4"/>
      <c r="I277" s="16"/>
      <c r="J277" s="4"/>
      <c r="K277" s="16"/>
      <c r="L277" s="4"/>
      <c r="M277" s="19"/>
      <c r="N277" s="4"/>
      <c r="O277" s="16"/>
      <c r="P277" s="4"/>
      <c r="Q277" s="4"/>
      <c r="R277" s="4"/>
      <c r="S277" s="4"/>
    </row>
    <row r="278" spans="1:19" ht="15.75" customHeight="1" x14ac:dyDescent="0.2">
      <c r="A278" s="16"/>
      <c r="B278" s="4"/>
      <c r="C278" s="16"/>
      <c r="D278" s="4"/>
      <c r="E278" s="16"/>
      <c r="F278" s="16"/>
      <c r="G278" s="4"/>
      <c r="H278" s="4"/>
      <c r="I278" s="16"/>
      <c r="J278" s="4"/>
      <c r="K278" s="16"/>
      <c r="L278" s="4"/>
      <c r="M278" s="19"/>
      <c r="N278" s="4"/>
      <c r="O278" s="16"/>
      <c r="P278" s="4"/>
      <c r="Q278" s="4"/>
      <c r="R278" s="4"/>
      <c r="S278" s="4"/>
    </row>
    <row r="279" spans="1:19" ht="15.75" customHeight="1" x14ac:dyDescent="0.2">
      <c r="A279" s="16"/>
      <c r="B279" s="4"/>
      <c r="C279" s="16"/>
      <c r="D279" s="4"/>
      <c r="E279" s="16"/>
      <c r="F279" s="16"/>
      <c r="G279" s="4"/>
      <c r="H279" s="4"/>
      <c r="I279" s="16"/>
      <c r="J279" s="4"/>
      <c r="K279" s="16"/>
      <c r="L279" s="4"/>
      <c r="M279" s="19"/>
      <c r="N279" s="4"/>
      <c r="O279" s="16"/>
      <c r="P279" s="4"/>
      <c r="Q279" s="4"/>
      <c r="R279" s="4"/>
      <c r="S279" s="4"/>
    </row>
    <row r="280" spans="1:19" ht="15.75" customHeight="1" x14ac:dyDescent="0.2">
      <c r="A280" s="16"/>
      <c r="B280" s="4"/>
      <c r="C280" s="16"/>
      <c r="D280" s="4"/>
      <c r="E280" s="16"/>
      <c r="F280" s="16"/>
      <c r="G280" s="4"/>
      <c r="H280" s="4"/>
      <c r="I280" s="16"/>
      <c r="J280" s="4"/>
      <c r="K280" s="16"/>
      <c r="L280" s="4"/>
      <c r="M280" s="19"/>
      <c r="N280" s="4"/>
      <c r="O280" s="16"/>
      <c r="P280" s="4"/>
      <c r="Q280" s="4"/>
      <c r="R280" s="4"/>
      <c r="S280" s="4"/>
    </row>
    <row r="281" spans="1:19" ht="15.75" customHeight="1" x14ac:dyDescent="0.2">
      <c r="A281" s="16"/>
      <c r="B281" s="4"/>
      <c r="C281" s="16"/>
      <c r="D281" s="4"/>
      <c r="E281" s="16"/>
      <c r="F281" s="16"/>
      <c r="G281" s="4"/>
      <c r="H281" s="4"/>
      <c r="I281" s="16"/>
      <c r="J281" s="4"/>
      <c r="K281" s="16"/>
      <c r="L281" s="4"/>
      <c r="M281" s="19"/>
      <c r="N281" s="4"/>
      <c r="O281" s="16"/>
      <c r="P281" s="4"/>
      <c r="Q281" s="4"/>
      <c r="R281" s="4"/>
      <c r="S281" s="4"/>
    </row>
    <row r="282" spans="1:19" ht="15.75" customHeight="1" x14ac:dyDescent="0.2">
      <c r="A282" s="16"/>
      <c r="B282" s="4"/>
      <c r="C282" s="16"/>
      <c r="D282" s="4"/>
      <c r="E282" s="16"/>
      <c r="F282" s="16"/>
      <c r="G282" s="4"/>
      <c r="H282" s="4"/>
      <c r="I282" s="16"/>
      <c r="J282" s="4"/>
      <c r="K282" s="16"/>
      <c r="L282" s="4"/>
      <c r="M282" s="19"/>
      <c r="N282" s="4"/>
      <c r="O282" s="16"/>
      <c r="P282" s="4"/>
      <c r="Q282" s="4"/>
      <c r="R282" s="4"/>
      <c r="S282" s="4"/>
    </row>
    <row r="283" spans="1:19" ht="15.75" customHeight="1" x14ac:dyDescent="0.2">
      <c r="A283" s="16"/>
      <c r="B283" s="4"/>
      <c r="C283" s="16"/>
      <c r="D283" s="4"/>
      <c r="E283" s="16"/>
      <c r="F283" s="16"/>
      <c r="G283" s="4"/>
      <c r="H283" s="4"/>
      <c r="I283" s="16"/>
      <c r="J283" s="4"/>
      <c r="K283" s="16"/>
      <c r="L283" s="4"/>
      <c r="M283" s="19"/>
      <c r="N283" s="4"/>
      <c r="O283" s="16"/>
      <c r="P283" s="4"/>
      <c r="Q283" s="4"/>
      <c r="R283" s="4"/>
      <c r="S283" s="4"/>
    </row>
    <row r="284" spans="1:19" ht="15.75" customHeight="1" x14ac:dyDescent="0.2">
      <c r="A284" s="16"/>
      <c r="B284" s="4"/>
      <c r="C284" s="16"/>
      <c r="D284" s="4"/>
      <c r="E284" s="16"/>
      <c r="F284" s="16"/>
      <c r="G284" s="4"/>
      <c r="H284" s="4"/>
      <c r="I284" s="16"/>
      <c r="J284" s="4"/>
      <c r="K284" s="16"/>
      <c r="L284" s="4"/>
      <c r="M284" s="19"/>
      <c r="N284" s="4"/>
      <c r="O284" s="16"/>
      <c r="P284" s="4"/>
      <c r="Q284" s="4"/>
      <c r="R284" s="4"/>
      <c r="S284" s="4"/>
    </row>
    <row r="285" spans="1:19" ht="15.75" customHeight="1" x14ac:dyDescent="0.2">
      <c r="A285" s="16"/>
      <c r="B285" s="4"/>
      <c r="C285" s="16"/>
      <c r="D285" s="4"/>
      <c r="E285" s="16"/>
      <c r="F285" s="16"/>
      <c r="G285" s="4"/>
      <c r="H285" s="4"/>
      <c r="I285" s="16"/>
      <c r="J285" s="4"/>
      <c r="K285" s="16"/>
      <c r="L285" s="4"/>
      <c r="M285" s="19"/>
      <c r="N285" s="4"/>
      <c r="O285" s="16"/>
      <c r="P285" s="4"/>
      <c r="Q285" s="4"/>
      <c r="R285" s="4"/>
      <c r="S285" s="4"/>
    </row>
    <row r="286" spans="1:19" ht="15.75" customHeight="1" x14ac:dyDescent="0.2">
      <c r="A286" s="16"/>
      <c r="B286" s="4"/>
      <c r="C286" s="16"/>
      <c r="D286" s="4"/>
      <c r="E286" s="16"/>
      <c r="F286" s="16"/>
      <c r="G286" s="4"/>
      <c r="H286" s="4"/>
      <c r="I286" s="16"/>
      <c r="J286" s="4"/>
      <c r="K286" s="16"/>
      <c r="L286" s="4"/>
      <c r="M286" s="19"/>
      <c r="N286" s="4"/>
      <c r="O286" s="16"/>
      <c r="P286" s="4"/>
      <c r="Q286" s="4"/>
      <c r="R286" s="4"/>
      <c r="S286" s="4"/>
    </row>
    <row r="287" spans="1:19" ht="15.75" customHeight="1" x14ac:dyDescent="0.2">
      <c r="A287" s="16"/>
      <c r="B287" s="4"/>
      <c r="C287" s="16"/>
      <c r="D287" s="4"/>
      <c r="E287" s="16"/>
      <c r="F287" s="16"/>
      <c r="G287" s="4"/>
      <c r="H287" s="4"/>
      <c r="I287" s="16"/>
      <c r="J287" s="4"/>
      <c r="K287" s="16"/>
      <c r="L287" s="4"/>
      <c r="M287" s="19"/>
      <c r="N287" s="4"/>
      <c r="O287" s="16"/>
      <c r="P287" s="4"/>
      <c r="Q287" s="4"/>
      <c r="R287" s="4"/>
      <c r="S287" s="4"/>
    </row>
    <row r="288" spans="1:19" ht="15.75" customHeight="1" x14ac:dyDescent="0.2">
      <c r="A288" s="16"/>
      <c r="B288" s="4"/>
      <c r="C288" s="16"/>
      <c r="D288" s="4"/>
      <c r="E288" s="16"/>
      <c r="F288" s="16"/>
      <c r="G288" s="4"/>
      <c r="H288" s="4"/>
      <c r="I288" s="16"/>
      <c r="J288" s="4"/>
      <c r="K288" s="16"/>
      <c r="L288" s="4"/>
      <c r="M288" s="19"/>
      <c r="N288" s="4"/>
      <c r="O288" s="16"/>
      <c r="P288" s="4"/>
      <c r="Q288" s="4"/>
      <c r="R288" s="4"/>
      <c r="S288" s="4"/>
    </row>
    <row r="289" spans="1:19" ht="15.75" customHeight="1" x14ac:dyDescent="0.2">
      <c r="A289" s="16"/>
      <c r="B289" s="4"/>
      <c r="C289" s="16"/>
      <c r="D289" s="4"/>
      <c r="E289" s="16"/>
      <c r="F289" s="16"/>
      <c r="G289" s="4"/>
      <c r="H289" s="4"/>
      <c r="I289" s="16"/>
      <c r="J289" s="4"/>
      <c r="K289" s="16"/>
      <c r="L289" s="4"/>
      <c r="M289" s="19"/>
      <c r="N289" s="4"/>
      <c r="O289" s="16"/>
      <c r="P289" s="4"/>
      <c r="Q289" s="4"/>
      <c r="R289" s="4"/>
      <c r="S289" s="4"/>
    </row>
    <row r="290" spans="1:19" ht="15.75" customHeight="1" x14ac:dyDescent="0.2">
      <c r="A290" s="16"/>
      <c r="B290" s="4"/>
      <c r="C290" s="16"/>
      <c r="D290" s="4"/>
      <c r="E290" s="16"/>
      <c r="F290" s="16"/>
      <c r="G290" s="4"/>
      <c r="H290" s="4"/>
      <c r="I290" s="16"/>
      <c r="J290" s="4"/>
      <c r="K290" s="16"/>
      <c r="L290" s="4"/>
      <c r="M290" s="19"/>
      <c r="N290" s="4"/>
      <c r="O290" s="16"/>
      <c r="P290" s="4"/>
      <c r="Q290" s="4"/>
      <c r="R290" s="4"/>
      <c r="S290" s="4"/>
    </row>
    <row r="291" spans="1:19" ht="15.75" customHeight="1" x14ac:dyDescent="0.2">
      <c r="A291" s="16"/>
      <c r="B291" s="4"/>
      <c r="C291" s="16"/>
      <c r="D291" s="4"/>
      <c r="E291" s="16"/>
      <c r="F291" s="16"/>
      <c r="G291" s="4"/>
      <c r="H291" s="4"/>
      <c r="I291" s="16"/>
      <c r="J291" s="4"/>
      <c r="K291" s="16"/>
      <c r="L291" s="4"/>
      <c r="M291" s="19"/>
      <c r="N291" s="4"/>
      <c r="O291" s="16"/>
      <c r="P291" s="4"/>
      <c r="Q291" s="4"/>
      <c r="R291" s="4"/>
      <c r="S291" s="4"/>
    </row>
    <row r="292" spans="1:19" ht="15.75" customHeight="1" x14ac:dyDescent="0.2">
      <c r="A292" s="16"/>
      <c r="B292" s="4"/>
      <c r="C292" s="16"/>
      <c r="D292" s="4"/>
      <c r="E292" s="16"/>
      <c r="F292" s="16"/>
      <c r="G292" s="4"/>
      <c r="H292" s="4"/>
      <c r="I292" s="16"/>
      <c r="J292" s="4"/>
      <c r="K292" s="16"/>
      <c r="L292" s="4"/>
      <c r="M292" s="19"/>
      <c r="N292" s="4"/>
      <c r="O292" s="16"/>
      <c r="P292" s="4"/>
      <c r="Q292" s="4"/>
      <c r="R292" s="4"/>
      <c r="S292" s="4"/>
    </row>
    <row r="293" spans="1:19" ht="15.75" customHeight="1" x14ac:dyDescent="0.2">
      <c r="A293" s="16"/>
      <c r="B293" s="4"/>
      <c r="C293" s="16"/>
      <c r="D293" s="4"/>
      <c r="E293" s="16"/>
      <c r="F293" s="16"/>
      <c r="G293" s="4"/>
      <c r="H293" s="4"/>
      <c r="I293" s="16"/>
      <c r="J293" s="4"/>
      <c r="K293" s="16"/>
      <c r="L293" s="4"/>
      <c r="M293" s="19"/>
      <c r="N293" s="4"/>
      <c r="O293" s="16"/>
      <c r="P293" s="4"/>
      <c r="Q293" s="4"/>
      <c r="R293" s="4"/>
      <c r="S293" s="4"/>
    </row>
    <row r="294" spans="1:19" ht="15.75" customHeight="1" x14ac:dyDescent="0.2">
      <c r="A294" s="16"/>
      <c r="B294" s="4"/>
      <c r="C294" s="16"/>
      <c r="D294" s="4"/>
      <c r="E294" s="16"/>
      <c r="F294" s="16"/>
      <c r="G294" s="4"/>
      <c r="H294" s="4"/>
      <c r="I294" s="16"/>
      <c r="J294" s="4"/>
      <c r="K294" s="16"/>
      <c r="L294" s="4"/>
      <c r="M294" s="19"/>
      <c r="N294" s="4"/>
      <c r="O294" s="16"/>
      <c r="P294" s="4"/>
      <c r="Q294" s="4"/>
      <c r="R294" s="4"/>
      <c r="S294" s="4"/>
    </row>
    <row r="295" spans="1:19" ht="15.75" customHeight="1" x14ac:dyDescent="0.2">
      <c r="A295" s="16"/>
      <c r="B295" s="4"/>
      <c r="C295" s="16"/>
      <c r="D295" s="4"/>
      <c r="E295" s="16"/>
      <c r="F295" s="16"/>
      <c r="G295" s="4"/>
      <c r="H295" s="4"/>
      <c r="I295" s="16"/>
      <c r="J295" s="4"/>
      <c r="K295" s="16"/>
      <c r="L295" s="4"/>
      <c r="M295" s="19"/>
      <c r="N295" s="4"/>
      <c r="O295" s="16"/>
      <c r="P295" s="4"/>
      <c r="Q295" s="4"/>
      <c r="R295" s="4"/>
      <c r="S295" s="4"/>
    </row>
    <row r="296" spans="1:19" ht="15.75" customHeight="1" x14ac:dyDescent="0.2">
      <c r="A296" s="16"/>
      <c r="B296" s="4"/>
      <c r="C296" s="16"/>
      <c r="D296" s="4"/>
      <c r="E296" s="16"/>
      <c r="F296" s="16"/>
      <c r="G296" s="4"/>
      <c r="H296" s="4"/>
      <c r="I296" s="16"/>
      <c r="J296" s="4"/>
      <c r="K296" s="16"/>
      <c r="L296" s="4"/>
      <c r="M296" s="19"/>
      <c r="N296" s="4"/>
      <c r="O296" s="16"/>
      <c r="P296" s="4"/>
      <c r="Q296" s="4"/>
      <c r="R296" s="4"/>
      <c r="S296" s="4"/>
    </row>
    <row r="297" spans="1:19" ht="15.75" customHeight="1" x14ac:dyDescent="0.2">
      <c r="A297" s="16"/>
      <c r="B297" s="4"/>
      <c r="C297" s="16"/>
      <c r="D297" s="4"/>
      <c r="E297" s="16"/>
      <c r="F297" s="16"/>
      <c r="G297" s="4"/>
      <c r="H297" s="4"/>
      <c r="I297" s="16"/>
      <c r="J297" s="4"/>
      <c r="K297" s="16"/>
      <c r="L297" s="4"/>
      <c r="M297" s="19"/>
      <c r="N297" s="4"/>
      <c r="O297" s="16"/>
      <c r="P297" s="4"/>
      <c r="Q297" s="4"/>
      <c r="R297" s="4"/>
      <c r="S297" s="4"/>
    </row>
    <row r="298" spans="1:19" ht="15.75" customHeight="1" x14ac:dyDescent="0.2">
      <c r="A298" s="16"/>
      <c r="B298" s="4"/>
      <c r="C298" s="16"/>
      <c r="D298" s="4"/>
      <c r="E298" s="16"/>
      <c r="F298" s="16"/>
      <c r="G298" s="4"/>
      <c r="H298" s="4"/>
      <c r="I298" s="16"/>
      <c r="J298" s="4"/>
      <c r="K298" s="16"/>
      <c r="L298" s="4"/>
      <c r="M298" s="19"/>
      <c r="N298" s="4"/>
      <c r="O298" s="16"/>
      <c r="P298" s="4"/>
      <c r="Q298" s="4"/>
      <c r="R298" s="4"/>
      <c r="S298" s="4"/>
    </row>
    <row r="299" spans="1:19" ht="15.75" customHeight="1" x14ac:dyDescent="0.2">
      <c r="A299" s="16"/>
      <c r="B299" s="4"/>
      <c r="C299" s="16"/>
      <c r="D299" s="4"/>
      <c r="E299" s="16"/>
      <c r="F299" s="16"/>
      <c r="G299" s="4"/>
      <c r="H299" s="4"/>
      <c r="I299" s="16"/>
      <c r="J299" s="4"/>
      <c r="K299" s="16"/>
      <c r="L299" s="4"/>
      <c r="M299" s="19"/>
      <c r="N299" s="4"/>
      <c r="O299" s="16"/>
      <c r="P299" s="4"/>
      <c r="Q299" s="4"/>
      <c r="R299" s="4"/>
      <c r="S299" s="4"/>
    </row>
    <row r="300" spans="1:19" ht="15.75" customHeight="1" x14ac:dyDescent="0.2">
      <c r="A300" s="16"/>
      <c r="B300" s="4"/>
      <c r="C300" s="16"/>
      <c r="D300" s="4"/>
      <c r="E300" s="16"/>
      <c r="F300" s="16"/>
      <c r="G300" s="4"/>
      <c r="H300" s="4"/>
      <c r="I300" s="16"/>
      <c r="J300" s="4"/>
      <c r="K300" s="16"/>
      <c r="L300" s="4"/>
      <c r="M300" s="19"/>
      <c r="N300" s="4"/>
      <c r="O300" s="16"/>
      <c r="P300" s="4"/>
      <c r="Q300" s="4"/>
      <c r="R300" s="4"/>
      <c r="S300" s="4"/>
    </row>
    <row r="301" spans="1:19" ht="15.75" customHeight="1" x14ac:dyDescent="0.2">
      <c r="A301" s="16"/>
      <c r="B301" s="4"/>
      <c r="C301" s="16"/>
      <c r="D301" s="4"/>
      <c r="E301" s="16"/>
      <c r="F301" s="16"/>
      <c r="G301" s="4"/>
      <c r="H301" s="4"/>
      <c r="I301" s="16"/>
      <c r="J301" s="4"/>
      <c r="K301" s="16"/>
      <c r="L301" s="4"/>
      <c r="M301" s="19"/>
      <c r="N301" s="4"/>
      <c r="O301" s="16"/>
      <c r="P301" s="4"/>
      <c r="Q301" s="4"/>
      <c r="R301" s="4"/>
      <c r="S301" s="4"/>
    </row>
    <row r="302" spans="1:19" ht="15.75" customHeight="1" x14ac:dyDescent="0.2">
      <c r="A302" s="16"/>
      <c r="B302" s="4"/>
      <c r="C302" s="16"/>
      <c r="D302" s="4"/>
      <c r="E302" s="16"/>
      <c r="F302" s="16"/>
      <c r="G302" s="4"/>
      <c r="H302" s="4"/>
      <c r="I302" s="16"/>
      <c r="J302" s="4"/>
      <c r="K302" s="16"/>
      <c r="L302" s="4"/>
      <c r="M302" s="19"/>
      <c r="N302" s="4"/>
      <c r="O302" s="16"/>
      <c r="P302" s="4"/>
      <c r="Q302" s="4"/>
      <c r="R302" s="4"/>
      <c r="S302" s="4"/>
    </row>
    <row r="303" spans="1:19" ht="15.75" customHeight="1" x14ac:dyDescent="0.2">
      <c r="A303" s="16"/>
      <c r="B303" s="4"/>
      <c r="C303" s="16"/>
      <c r="D303" s="4"/>
      <c r="E303" s="16"/>
      <c r="F303" s="16"/>
      <c r="G303" s="4"/>
      <c r="H303" s="4"/>
      <c r="I303" s="16"/>
      <c r="J303" s="4"/>
      <c r="K303" s="16"/>
      <c r="L303" s="4"/>
      <c r="M303" s="19"/>
      <c r="N303" s="4"/>
      <c r="O303" s="16"/>
      <c r="P303" s="4"/>
      <c r="Q303" s="4"/>
      <c r="R303" s="4"/>
      <c r="S303" s="4"/>
    </row>
    <row r="304" spans="1:19" ht="15.75" customHeight="1" x14ac:dyDescent="0.2">
      <c r="A304" s="16"/>
      <c r="B304" s="4"/>
      <c r="C304" s="16"/>
      <c r="D304" s="4"/>
      <c r="E304" s="16"/>
      <c r="F304" s="16"/>
      <c r="G304" s="4"/>
      <c r="H304" s="4"/>
      <c r="I304" s="16"/>
      <c r="J304" s="4"/>
      <c r="K304" s="16"/>
      <c r="L304" s="4"/>
      <c r="M304" s="19"/>
      <c r="N304" s="4"/>
      <c r="O304" s="16"/>
      <c r="P304" s="4"/>
      <c r="Q304" s="4"/>
      <c r="R304" s="4"/>
      <c r="S304" s="4"/>
    </row>
    <row r="305" spans="1:19" ht="15.75" customHeight="1" x14ac:dyDescent="0.2">
      <c r="A305" s="16"/>
      <c r="B305" s="4"/>
      <c r="C305" s="16"/>
      <c r="D305" s="4"/>
      <c r="E305" s="16"/>
      <c r="F305" s="16"/>
      <c r="G305" s="4"/>
      <c r="H305" s="4"/>
      <c r="I305" s="16"/>
      <c r="J305" s="4"/>
      <c r="K305" s="16"/>
      <c r="L305" s="4"/>
      <c r="M305" s="19"/>
      <c r="N305" s="4"/>
      <c r="O305" s="16"/>
      <c r="P305" s="4"/>
      <c r="Q305" s="4"/>
      <c r="R305" s="4"/>
      <c r="S305" s="4"/>
    </row>
    <row r="306" spans="1:19" ht="15.75" customHeight="1" x14ac:dyDescent="0.2">
      <c r="A306" s="16"/>
      <c r="B306" s="4"/>
      <c r="C306" s="16"/>
      <c r="D306" s="4"/>
      <c r="E306" s="16"/>
      <c r="F306" s="16"/>
      <c r="G306" s="4"/>
      <c r="H306" s="4"/>
      <c r="I306" s="16"/>
      <c r="J306" s="4"/>
      <c r="K306" s="16"/>
      <c r="L306" s="4"/>
      <c r="M306" s="19"/>
      <c r="N306" s="4"/>
      <c r="O306" s="16"/>
      <c r="P306" s="4"/>
      <c r="Q306" s="4"/>
      <c r="R306" s="4"/>
      <c r="S306" s="4"/>
    </row>
    <row r="307" spans="1:19" ht="15.75" customHeight="1" x14ac:dyDescent="0.2">
      <c r="A307" s="16"/>
      <c r="B307" s="4"/>
      <c r="C307" s="16"/>
      <c r="D307" s="4"/>
      <c r="E307" s="16"/>
      <c r="F307" s="16"/>
      <c r="G307" s="4"/>
      <c r="H307" s="4"/>
      <c r="I307" s="16"/>
      <c r="J307" s="4"/>
      <c r="K307" s="16"/>
      <c r="L307" s="4"/>
      <c r="M307" s="19"/>
      <c r="N307" s="4"/>
      <c r="O307" s="16"/>
      <c r="P307" s="4"/>
      <c r="Q307" s="4"/>
      <c r="R307" s="4"/>
      <c r="S307" s="4"/>
    </row>
    <row r="308" spans="1:19" ht="15.75" customHeight="1" x14ac:dyDescent="0.2">
      <c r="A308" s="16"/>
      <c r="B308" s="4"/>
      <c r="C308" s="16"/>
      <c r="D308" s="4"/>
      <c r="E308" s="16"/>
      <c r="F308" s="16"/>
      <c r="G308" s="4"/>
      <c r="H308" s="4"/>
      <c r="I308" s="16"/>
      <c r="J308" s="4"/>
      <c r="K308" s="16"/>
      <c r="L308" s="4"/>
      <c r="M308" s="19"/>
      <c r="N308" s="4"/>
      <c r="O308" s="16"/>
      <c r="P308" s="4"/>
      <c r="Q308" s="4"/>
      <c r="R308" s="4"/>
      <c r="S308" s="4"/>
    </row>
    <row r="309" spans="1:19" ht="15.75" customHeight="1" x14ac:dyDescent="0.2">
      <c r="A309" s="16"/>
      <c r="B309" s="4"/>
      <c r="C309" s="16"/>
      <c r="D309" s="4"/>
      <c r="E309" s="16"/>
      <c r="F309" s="16"/>
      <c r="G309" s="4"/>
      <c r="H309" s="4"/>
      <c r="I309" s="16"/>
      <c r="J309" s="4"/>
      <c r="K309" s="16"/>
      <c r="L309" s="4"/>
      <c r="M309" s="19"/>
      <c r="N309" s="4"/>
      <c r="O309" s="16"/>
      <c r="P309" s="4"/>
      <c r="Q309" s="4"/>
      <c r="R309" s="4"/>
      <c r="S309" s="4"/>
    </row>
    <row r="310" spans="1:19" ht="15.75" customHeight="1" x14ac:dyDescent="0.2">
      <c r="A310" s="16"/>
      <c r="B310" s="4"/>
      <c r="C310" s="16"/>
      <c r="D310" s="4"/>
      <c r="E310" s="16"/>
      <c r="F310" s="16"/>
      <c r="G310" s="4"/>
      <c r="H310" s="4"/>
      <c r="I310" s="16"/>
      <c r="J310" s="4"/>
      <c r="K310" s="16"/>
      <c r="L310" s="4"/>
      <c r="M310" s="19"/>
      <c r="N310" s="4"/>
      <c r="O310" s="16"/>
      <c r="P310" s="4"/>
      <c r="Q310" s="4"/>
      <c r="R310" s="4"/>
      <c r="S310" s="4"/>
    </row>
    <row r="311" spans="1:19" ht="15.75" customHeight="1" x14ac:dyDescent="0.2">
      <c r="A311" s="16"/>
      <c r="B311" s="4"/>
      <c r="C311" s="16"/>
      <c r="D311" s="4"/>
      <c r="E311" s="16"/>
      <c r="F311" s="16"/>
      <c r="G311" s="4"/>
      <c r="H311" s="4"/>
      <c r="I311" s="16"/>
      <c r="J311" s="4"/>
      <c r="K311" s="16"/>
      <c r="L311" s="4"/>
      <c r="M311" s="19"/>
      <c r="N311" s="4"/>
      <c r="O311" s="16"/>
      <c r="P311" s="4"/>
      <c r="Q311" s="4"/>
      <c r="R311" s="4"/>
      <c r="S311" s="4"/>
    </row>
    <row r="312" spans="1:19" ht="15.75" customHeight="1" x14ac:dyDescent="0.2">
      <c r="A312" s="16"/>
      <c r="B312" s="4"/>
      <c r="C312" s="16"/>
      <c r="D312" s="4"/>
      <c r="E312" s="16"/>
      <c r="F312" s="16"/>
      <c r="G312" s="4"/>
      <c r="H312" s="4"/>
      <c r="I312" s="16"/>
      <c r="J312" s="4"/>
      <c r="K312" s="16"/>
      <c r="L312" s="4"/>
      <c r="M312" s="19"/>
      <c r="N312" s="4"/>
      <c r="O312" s="16"/>
      <c r="P312" s="4"/>
      <c r="Q312" s="4"/>
      <c r="R312" s="4"/>
      <c r="S312" s="4"/>
    </row>
    <row r="313" spans="1:19" ht="15.75" customHeight="1" x14ac:dyDescent="0.2">
      <c r="A313" s="16"/>
      <c r="B313" s="4"/>
      <c r="C313" s="16"/>
      <c r="D313" s="4"/>
      <c r="E313" s="16"/>
      <c r="F313" s="16"/>
      <c r="G313" s="4"/>
      <c r="H313" s="4"/>
      <c r="I313" s="16"/>
      <c r="J313" s="4"/>
      <c r="K313" s="16"/>
      <c r="L313" s="4"/>
      <c r="M313" s="19"/>
      <c r="N313" s="4"/>
      <c r="O313" s="16"/>
      <c r="P313" s="4"/>
      <c r="Q313" s="4"/>
      <c r="R313" s="4"/>
      <c r="S313" s="4"/>
    </row>
    <row r="314" spans="1:19" ht="15.75" customHeight="1" x14ac:dyDescent="0.2">
      <c r="A314" s="16"/>
      <c r="B314" s="4"/>
      <c r="C314" s="16"/>
      <c r="D314" s="4"/>
      <c r="E314" s="16"/>
      <c r="F314" s="16"/>
      <c r="G314" s="4"/>
      <c r="H314" s="4"/>
      <c r="I314" s="16"/>
      <c r="J314" s="4"/>
      <c r="K314" s="16"/>
      <c r="L314" s="4"/>
      <c r="M314" s="19"/>
      <c r="N314" s="4"/>
      <c r="O314" s="16"/>
      <c r="P314" s="4"/>
      <c r="Q314" s="4"/>
      <c r="R314" s="4"/>
      <c r="S314" s="4"/>
    </row>
    <row r="315" spans="1:19" ht="15.75" customHeight="1" x14ac:dyDescent="0.2">
      <c r="A315" s="16"/>
      <c r="B315" s="4"/>
      <c r="C315" s="16"/>
      <c r="D315" s="4"/>
      <c r="E315" s="16"/>
      <c r="F315" s="16"/>
      <c r="G315" s="4"/>
      <c r="H315" s="4"/>
      <c r="I315" s="16"/>
      <c r="J315" s="4"/>
      <c r="K315" s="16"/>
      <c r="L315" s="4"/>
      <c r="M315" s="19"/>
      <c r="N315" s="4"/>
      <c r="O315" s="16"/>
      <c r="P315" s="4"/>
      <c r="Q315" s="4"/>
      <c r="R315" s="4"/>
      <c r="S315" s="4"/>
    </row>
    <row r="316" spans="1:19" ht="15.75" customHeight="1" x14ac:dyDescent="0.2">
      <c r="A316" s="16"/>
      <c r="B316" s="4"/>
      <c r="C316" s="16"/>
      <c r="D316" s="4"/>
      <c r="E316" s="16"/>
      <c r="F316" s="16"/>
      <c r="G316" s="4"/>
      <c r="H316" s="4"/>
      <c r="I316" s="16"/>
      <c r="J316" s="4"/>
      <c r="K316" s="16"/>
      <c r="L316" s="4"/>
      <c r="M316" s="19"/>
      <c r="N316" s="4"/>
      <c r="O316" s="16"/>
      <c r="P316" s="4"/>
      <c r="Q316" s="4"/>
      <c r="R316" s="4"/>
      <c r="S316" s="4"/>
    </row>
    <row r="317" spans="1:19" ht="15.75" customHeight="1" x14ac:dyDescent="0.2">
      <c r="A317" s="16"/>
      <c r="B317" s="4"/>
      <c r="C317" s="16"/>
      <c r="D317" s="4"/>
      <c r="E317" s="16"/>
      <c r="F317" s="16"/>
      <c r="G317" s="4"/>
      <c r="H317" s="4"/>
      <c r="I317" s="16"/>
      <c r="J317" s="4"/>
      <c r="K317" s="16"/>
      <c r="L317" s="4"/>
      <c r="M317" s="19"/>
      <c r="N317" s="4"/>
      <c r="O317" s="16"/>
      <c r="P317" s="4"/>
      <c r="Q317" s="4"/>
      <c r="R317" s="4"/>
      <c r="S317" s="4"/>
    </row>
    <row r="318" spans="1:19" ht="15.75" customHeight="1" x14ac:dyDescent="0.2">
      <c r="A318" s="16"/>
      <c r="B318" s="4"/>
      <c r="C318" s="16"/>
      <c r="D318" s="4"/>
      <c r="E318" s="16"/>
      <c r="F318" s="16"/>
      <c r="G318" s="4"/>
      <c r="H318" s="4"/>
      <c r="I318" s="16"/>
      <c r="J318" s="4"/>
      <c r="K318" s="16"/>
      <c r="L318" s="4"/>
      <c r="M318" s="19"/>
      <c r="N318" s="4"/>
      <c r="O318" s="16"/>
      <c r="P318" s="4"/>
      <c r="Q318" s="4"/>
      <c r="R318" s="4"/>
      <c r="S318" s="4"/>
    </row>
    <row r="319" spans="1:19" ht="15.75" customHeight="1" x14ac:dyDescent="0.2">
      <c r="A319" s="16"/>
      <c r="B319" s="4"/>
      <c r="C319" s="16"/>
      <c r="D319" s="4"/>
      <c r="E319" s="16"/>
      <c r="F319" s="16"/>
      <c r="G319" s="4"/>
      <c r="H319" s="4"/>
      <c r="I319" s="16"/>
      <c r="J319" s="4"/>
      <c r="K319" s="16"/>
      <c r="L319" s="4"/>
      <c r="M319" s="19"/>
      <c r="N319" s="4"/>
      <c r="O319" s="16"/>
      <c r="P319" s="4"/>
      <c r="Q319" s="4"/>
      <c r="R319" s="4"/>
      <c r="S319" s="4"/>
    </row>
    <row r="320" spans="1:19" ht="15.75" customHeight="1" x14ac:dyDescent="0.2">
      <c r="A320" s="16"/>
      <c r="B320" s="4"/>
      <c r="C320" s="16"/>
      <c r="D320" s="4"/>
      <c r="E320" s="16"/>
      <c r="F320" s="16"/>
      <c r="G320" s="4"/>
      <c r="H320" s="4"/>
      <c r="I320" s="16"/>
      <c r="J320" s="4"/>
      <c r="K320" s="16"/>
      <c r="L320" s="4"/>
      <c r="M320" s="19"/>
      <c r="N320" s="4"/>
      <c r="O320" s="16"/>
      <c r="P320" s="4"/>
      <c r="Q320" s="4"/>
      <c r="R320" s="4"/>
      <c r="S320" s="4"/>
    </row>
    <row r="321" spans="1:19" ht="15.75" customHeight="1" x14ac:dyDescent="0.2">
      <c r="A321" s="16"/>
      <c r="B321" s="4"/>
      <c r="C321" s="16"/>
      <c r="D321" s="4"/>
      <c r="E321" s="16"/>
      <c r="F321" s="16"/>
      <c r="G321" s="4"/>
      <c r="H321" s="4"/>
      <c r="I321" s="16"/>
      <c r="J321" s="4"/>
      <c r="K321" s="16"/>
      <c r="L321" s="4"/>
      <c r="M321" s="19"/>
      <c r="N321" s="4"/>
      <c r="O321" s="16"/>
      <c r="P321" s="4"/>
      <c r="Q321" s="4"/>
      <c r="R321" s="4"/>
      <c r="S321" s="4"/>
    </row>
    <row r="322" spans="1:19" ht="15.75" customHeight="1" x14ac:dyDescent="0.2">
      <c r="A322" s="16"/>
      <c r="B322" s="4"/>
      <c r="C322" s="16"/>
      <c r="D322" s="4"/>
      <c r="E322" s="16"/>
      <c r="F322" s="16"/>
      <c r="G322" s="4"/>
      <c r="H322" s="4"/>
      <c r="I322" s="16"/>
      <c r="J322" s="4"/>
      <c r="K322" s="16"/>
      <c r="L322" s="4"/>
      <c r="M322" s="19"/>
      <c r="N322" s="4"/>
      <c r="O322" s="16"/>
      <c r="P322" s="4"/>
      <c r="Q322" s="4"/>
      <c r="R322" s="4"/>
      <c r="S322" s="4"/>
    </row>
    <row r="323" spans="1:19" ht="15.75" customHeight="1" x14ac:dyDescent="0.2">
      <c r="A323" s="16"/>
      <c r="B323" s="4"/>
      <c r="C323" s="16"/>
      <c r="D323" s="4"/>
      <c r="E323" s="16"/>
      <c r="F323" s="16"/>
      <c r="G323" s="4"/>
      <c r="H323" s="4"/>
      <c r="I323" s="16"/>
      <c r="J323" s="4"/>
      <c r="K323" s="16"/>
      <c r="L323" s="4"/>
      <c r="M323" s="19"/>
      <c r="N323" s="4"/>
      <c r="O323" s="16"/>
      <c r="P323" s="4"/>
      <c r="Q323" s="4"/>
      <c r="R323" s="4"/>
      <c r="S323" s="4"/>
    </row>
    <row r="324" spans="1:19" ht="15.75" customHeight="1" x14ac:dyDescent="0.2">
      <c r="A324" s="16"/>
      <c r="B324" s="4"/>
      <c r="C324" s="16"/>
      <c r="D324" s="4"/>
      <c r="E324" s="16"/>
      <c r="F324" s="16"/>
      <c r="G324" s="4"/>
      <c r="H324" s="4"/>
      <c r="I324" s="16"/>
      <c r="J324" s="4"/>
      <c r="K324" s="16"/>
      <c r="L324" s="4"/>
      <c r="M324" s="19"/>
      <c r="N324" s="4"/>
      <c r="O324" s="16"/>
      <c r="P324" s="4"/>
      <c r="Q324" s="4"/>
      <c r="R324" s="4"/>
      <c r="S324" s="4"/>
    </row>
    <row r="325" spans="1:19" ht="15.75" customHeight="1" x14ac:dyDescent="0.2">
      <c r="A325" s="16"/>
      <c r="B325" s="4"/>
      <c r="C325" s="16"/>
      <c r="D325" s="4"/>
      <c r="E325" s="16"/>
      <c r="F325" s="16"/>
      <c r="G325" s="4"/>
      <c r="H325" s="4"/>
      <c r="I325" s="16"/>
      <c r="J325" s="4"/>
      <c r="K325" s="16"/>
      <c r="L325" s="4"/>
      <c r="M325" s="19"/>
      <c r="N325" s="4"/>
      <c r="O325" s="16"/>
      <c r="P325" s="4"/>
      <c r="Q325" s="4"/>
      <c r="R325" s="4"/>
      <c r="S325" s="4"/>
    </row>
    <row r="326" spans="1:19" ht="15.75" customHeight="1" x14ac:dyDescent="0.2">
      <c r="A326" s="16"/>
      <c r="B326" s="4"/>
      <c r="C326" s="16"/>
      <c r="D326" s="4"/>
      <c r="E326" s="16"/>
      <c r="F326" s="16"/>
      <c r="G326" s="4"/>
      <c r="H326" s="4"/>
      <c r="I326" s="16"/>
      <c r="J326" s="4"/>
      <c r="K326" s="16"/>
      <c r="L326" s="4"/>
      <c r="M326" s="19"/>
      <c r="N326" s="4"/>
      <c r="O326" s="16"/>
      <c r="P326" s="4"/>
      <c r="Q326" s="4"/>
      <c r="R326" s="4"/>
      <c r="S326" s="4"/>
    </row>
    <row r="327" spans="1:19" ht="15.75" customHeight="1" x14ac:dyDescent="0.2">
      <c r="A327" s="16"/>
      <c r="B327" s="4"/>
      <c r="C327" s="16"/>
      <c r="D327" s="4"/>
      <c r="E327" s="16"/>
      <c r="F327" s="16"/>
      <c r="G327" s="4"/>
      <c r="H327" s="4"/>
      <c r="I327" s="16"/>
      <c r="J327" s="4"/>
      <c r="K327" s="16"/>
      <c r="L327" s="4"/>
      <c r="M327" s="19"/>
      <c r="N327" s="4"/>
      <c r="O327" s="16"/>
      <c r="P327" s="4"/>
      <c r="Q327" s="4"/>
      <c r="R327" s="4"/>
      <c r="S327" s="4"/>
    </row>
    <row r="328" spans="1:19" ht="15.75" customHeight="1" x14ac:dyDescent="0.2">
      <c r="A328" s="16"/>
      <c r="B328" s="4"/>
      <c r="C328" s="16"/>
      <c r="D328" s="4"/>
      <c r="E328" s="16"/>
      <c r="F328" s="16"/>
      <c r="G328" s="4"/>
      <c r="H328" s="4"/>
      <c r="I328" s="16"/>
      <c r="J328" s="4"/>
      <c r="K328" s="16"/>
      <c r="L328" s="4"/>
      <c r="M328" s="19"/>
      <c r="N328" s="4"/>
      <c r="O328" s="16"/>
      <c r="P328" s="4"/>
      <c r="Q328" s="4"/>
      <c r="R328" s="4"/>
      <c r="S328" s="4"/>
    </row>
    <row r="329" spans="1:19" ht="15.75" customHeight="1" x14ac:dyDescent="0.2">
      <c r="A329" s="16"/>
      <c r="B329" s="4"/>
      <c r="C329" s="16"/>
      <c r="D329" s="4"/>
      <c r="E329" s="16"/>
      <c r="F329" s="16"/>
      <c r="G329" s="4"/>
      <c r="H329" s="4"/>
      <c r="I329" s="16"/>
      <c r="J329" s="4"/>
      <c r="K329" s="16"/>
      <c r="L329" s="4"/>
      <c r="M329" s="19"/>
      <c r="N329" s="4"/>
      <c r="O329" s="16"/>
      <c r="P329" s="4"/>
      <c r="Q329" s="4"/>
      <c r="R329" s="4"/>
      <c r="S329" s="4"/>
    </row>
    <row r="330" spans="1:19" ht="15.75" customHeight="1" x14ac:dyDescent="0.2">
      <c r="A330" s="16"/>
      <c r="B330" s="4"/>
      <c r="C330" s="16"/>
      <c r="D330" s="4"/>
      <c r="E330" s="16"/>
      <c r="F330" s="16"/>
      <c r="G330" s="4"/>
      <c r="H330" s="4"/>
      <c r="I330" s="16"/>
      <c r="J330" s="4"/>
      <c r="K330" s="16"/>
      <c r="L330" s="4"/>
      <c r="M330" s="19"/>
      <c r="N330" s="4"/>
      <c r="O330" s="16"/>
      <c r="P330" s="4"/>
      <c r="Q330" s="4"/>
      <c r="R330" s="4"/>
      <c r="S330" s="4"/>
    </row>
    <row r="331" spans="1:19" ht="15.75" customHeight="1" x14ac:dyDescent="0.2">
      <c r="A331" s="16"/>
      <c r="B331" s="4"/>
      <c r="C331" s="16"/>
      <c r="D331" s="4"/>
      <c r="E331" s="16"/>
      <c r="F331" s="16"/>
      <c r="G331" s="4"/>
      <c r="H331" s="4"/>
      <c r="I331" s="16"/>
      <c r="J331" s="4"/>
      <c r="K331" s="16"/>
      <c r="L331" s="4"/>
      <c r="M331" s="19"/>
      <c r="N331" s="4"/>
      <c r="O331" s="16"/>
      <c r="P331" s="4"/>
      <c r="Q331" s="4"/>
      <c r="R331" s="4"/>
      <c r="S331" s="4"/>
    </row>
    <row r="332" spans="1:19" ht="15.75" customHeight="1" x14ac:dyDescent="0.2">
      <c r="A332" s="16"/>
      <c r="B332" s="4"/>
      <c r="C332" s="16"/>
      <c r="D332" s="4"/>
      <c r="E332" s="16"/>
      <c r="F332" s="16"/>
      <c r="G332" s="4"/>
      <c r="H332" s="4"/>
      <c r="I332" s="16"/>
      <c r="J332" s="4"/>
      <c r="K332" s="16"/>
      <c r="L332" s="4"/>
      <c r="M332" s="19"/>
      <c r="N332" s="4"/>
      <c r="O332" s="16"/>
      <c r="P332" s="4"/>
      <c r="Q332" s="4"/>
      <c r="R332" s="4"/>
      <c r="S332" s="4"/>
    </row>
    <row r="333" spans="1:19" ht="15.75" customHeight="1" x14ac:dyDescent="0.2">
      <c r="A333" s="16"/>
      <c r="B333" s="4"/>
      <c r="C333" s="16"/>
      <c r="D333" s="4"/>
      <c r="E333" s="16"/>
      <c r="F333" s="16"/>
      <c r="G333" s="4"/>
      <c r="H333" s="4"/>
      <c r="I333" s="16"/>
      <c r="J333" s="4"/>
      <c r="K333" s="16"/>
      <c r="L333" s="4"/>
      <c r="M333" s="19"/>
      <c r="N333" s="4"/>
      <c r="O333" s="16"/>
      <c r="P333" s="4"/>
      <c r="Q333" s="4"/>
      <c r="R333" s="4"/>
      <c r="S333" s="4"/>
    </row>
    <row r="334" spans="1:19" ht="15.75" customHeight="1" x14ac:dyDescent="0.2">
      <c r="A334" s="16"/>
      <c r="B334" s="4"/>
      <c r="C334" s="16"/>
      <c r="D334" s="4"/>
      <c r="E334" s="16"/>
      <c r="F334" s="16"/>
      <c r="G334" s="4"/>
      <c r="H334" s="4"/>
      <c r="I334" s="16"/>
      <c r="J334" s="4"/>
      <c r="K334" s="16"/>
      <c r="L334" s="4"/>
      <c r="M334" s="19"/>
      <c r="N334" s="4"/>
      <c r="O334" s="16"/>
      <c r="P334" s="4"/>
      <c r="Q334" s="4"/>
      <c r="R334" s="4"/>
      <c r="S334" s="4"/>
    </row>
    <row r="335" spans="1:19" ht="15.75" customHeight="1" x14ac:dyDescent="0.2">
      <c r="A335" s="16"/>
      <c r="B335" s="4"/>
      <c r="C335" s="16"/>
      <c r="D335" s="4"/>
      <c r="E335" s="16"/>
      <c r="F335" s="16"/>
      <c r="G335" s="4"/>
      <c r="H335" s="4"/>
      <c r="I335" s="16"/>
      <c r="J335" s="4"/>
      <c r="K335" s="16"/>
      <c r="L335" s="4"/>
      <c r="M335" s="19"/>
      <c r="N335" s="4"/>
      <c r="O335" s="16"/>
      <c r="P335" s="4"/>
      <c r="Q335" s="4"/>
      <c r="R335" s="4"/>
      <c r="S335" s="4"/>
    </row>
    <row r="336" spans="1:19" ht="15.75" customHeight="1" x14ac:dyDescent="0.2">
      <c r="A336" s="16"/>
      <c r="B336" s="4"/>
      <c r="C336" s="16"/>
      <c r="D336" s="4"/>
      <c r="E336" s="16"/>
      <c r="F336" s="16"/>
      <c r="G336" s="4"/>
      <c r="H336" s="4"/>
      <c r="I336" s="16"/>
      <c r="J336" s="4"/>
      <c r="K336" s="16"/>
      <c r="L336" s="4"/>
      <c r="M336" s="19"/>
      <c r="N336" s="4"/>
      <c r="O336" s="16"/>
      <c r="P336" s="4"/>
      <c r="Q336" s="4"/>
      <c r="R336" s="4"/>
      <c r="S336" s="4"/>
    </row>
    <row r="337" spans="1:19" ht="15.75" customHeight="1" x14ac:dyDescent="0.2">
      <c r="A337" s="16"/>
      <c r="B337" s="4"/>
      <c r="C337" s="16"/>
      <c r="D337" s="4"/>
      <c r="E337" s="16"/>
      <c r="F337" s="16"/>
      <c r="G337" s="4"/>
      <c r="H337" s="4"/>
      <c r="I337" s="16"/>
      <c r="J337" s="4"/>
      <c r="K337" s="16"/>
      <c r="L337" s="4"/>
      <c r="M337" s="19"/>
      <c r="N337" s="4"/>
      <c r="O337" s="16"/>
      <c r="P337" s="4"/>
      <c r="Q337" s="4"/>
      <c r="R337" s="4"/>
      <c r="S337" s="4"/>
    </row>
    <row r="338" spans="1:19" ht="15.75" customHeight="1" x14ac:dyDescent="0.2">
      <c r="A338" s="16"/>
      <c r="B338" s="4"/>
      <c r="C338" s="16"/>
      <c r="D338" s="4"/>
      <c r="E338" s="16"/>
      <c r="F338" s="16"/>
      <c r="G338" s="4"/>
      <c r="H338" s="4"/>
      <c r="I338" s="16"/>
      <c r="J338" s="4"/>
      <c r="K338" s="16"/>
      <c r="L338" s="4"/>
      <c r="M338" s="19"/>
      <c r="N338" s="4"/>
      <c r="O338" s="16"/>
      <c r="P338" s="4"/>
      <c r="Q338" s="4"/>
      <c r="R338" s="4"/>
      <c r="S338" s="4"/>
    </row>
    <row r="339" spans="1:19" ht="15.75" customHeight="1" x14ac:dyDescent="0.2">
      <c r="A339" s="16"/>
      <c r="B339" s="4"/>
      <c r="C339" s="16"/>
      <c r="D339" s="4"/>
      <c r="E339" s="16"/>
      <c r="F339" s="16"/>
      <c r="G339" s="4"/>
      <c r="H339" s="4"/>
      <c r="I339" s="16"/>
      <c r="J339" s="4"/>
      <c r="K339" s="16"/>
      <c r="L339" s="4"/>
      <c r="M339" s="19"/>
      <c r="N339" s="4"/>
      <c r="O339" s="16"/>
      <c r="P339" s="4"/>
      <c r="Q339" s="4"/>
      <c r="R339" s="4"/>
      <c r="S339" s="4"/>
    </row>
    <row r="340" spans="1:19" ht="15.75" customHeight="1" x14ac:dyDescent="0.2">
      <c r="A340" s="16"/>
      <c r="B340" s="4"/>
      <c r="C340" s="16"/>
      <c r="D340" s="4"/>
      <c r="E340" s="16"/>
      <c r="F340" s="16"/>
      <c r="G340" s="4"/>
      <c r="H340" s="4"/>
      <c r="I340" s="16"/>
      <c r="J340" s="4"/>
      <c r="K340" s="16"/>
      <c r="L340" s="4"/>
      <c r="M340" s="19"/>
      <c r="N340" s="4"/>
      <c r="O340" s="16"/>
      <c r="P340" s="4"/>
      <c r="Q340" s="4"/>
      <c r="R340" s="4"/>
      <c r="S340" s="4"/>
    </row>
    <row r="341" spans="1:19" ht="15.75" customHeight="1" x14ac:dyDescent="0.2">
      <c r="A341" s="16"/>
      <c r="B341" s="4"/>
      <c r="C341" s="16"/>
      <c r="D341" s="4"/>
      <c r="E341" s="16"/>
      <c r="F341" s="16"/>
      <c r="G341" s="4"/>
      <c r="H341" s="4"/>
      <c r="I341" s="16"/>
      <c r="J341" s="4"/>
      <c r="K341" s="16"/>
      <c r="L341" s="4"/>
      <c r="M341" s="19"/>
      <c r="N341" s="4"/>
      <c r="O341" s="16"/>
      <c r="P341" s="4"/>
      <c r="Q341" s="4"/>
      <c r="R341" s="4"/>
      <c r="S341" s="4"/>
    </row>
    <row r="342" spans="1:19" ht="15.75" customHeight="1" x14ac:dyDescent="0.2">
      <c r="A342" s="16"/>
      <c r="B342" s="4"/>
      <c r="C342" s="16"/>
      <c r="D342" s="4"/>
      <c r="E342" s="16"/>
      <c r="F342" s="16"/>
      <c r="G342" s="4"/>
      <c r="H342" s="4"/>
      <c r="I342" s="16"/>
      <c r="J342" s="4"/>
      <c r="K342" s="16"/>
      <c r="L342" s="4"/>
      <c r="M342" s="19"/>
      <c r="N342" s="4"/>
      <c r="O342" s="16"/>
      <c r="P342" s="4"/>
      <c r="Q342" s="4"/>
      <c r="R342" s="4"/>
      <c r="S342" s="4"/>
    </row>
    <row r="343" spans="1:19" ht="15.75" customHeight="1" x14ac:dyDescent="0.2">
      <c r="A343" s="16"/>
      <c r="B343" s="4"/>
      <c r="C343" s="16"/>
      <c r="D343" s="4"/>
      <c r="E343" s="16"/>
      <c r="F343" s="16"/>
      <c r="G343" s="4"/>
      <c r="H343" s="4"/>
      <c r="I343" s="16"/>
      <c r="J343" s="4"/>
      <c r="K343" s="16"/>
      <c r="L343" s="4"/>
      <c r="M343" s="19"/>
      <c r="N343" s="4"/>
      <c r="O343" s="16"/>
      <c r="P343" s="4"/>
      <c r="Q343" s="4"/>
      <c r="R343" s="4"/>
      <c r="S343" s="4"/>
    </row>
    <row r="344" spans="1:19" ht="15.75" customHeight="1" x14ac:dyDescent="0.2">
      <c r="A344" s="16"/>
      <c r="B344" s="4"/>
      <c r="C344" s="16"/>
      <c r="D344" s="4"/>
      <c r="E344" s="16"/>
      <c r="F344" s="16"/>
      <c r="G344" s="4"/>
      <c r="H344" s="4"/>
      <c r="I344" s="16"/>
      <c r="J344" s="4"/>
      <c r="K344" s="16"/>
      <c r="L344" s="4"/>
      <c r="M344" s="19"/>
      <c r="N344" s="4"/>
      <c r="O344" s="16"/>
      <c r="P344" s="4"/>
      <c r="Q344" s="4"/>
      <c r="R344" s="4"/>
      <c r="S344" s="4"/>
    </row>
    <row r="345" spans="1:19" ht="15.75" customHeight="1" x14ac:dyDescent="0.2">
      <c r="A345" s="16"/>
      <c r="B345" s="4"/>
      <c r="C345" s="16"/>
      <c r="D345" s="4"/>
      <c r="E345" s="16"/>
      <c r="F345" s="16"/>
      <c r="G345" s="4"/>
      <c r="H345" s="4"/>
      <c r="I345" s="16"/>
      <c r="J345" s="4"/>
      <c r="K345" s="16"/>
      <c r="L345" s="4"/>
      <c r="M345" s="19"/>
      <c r="N345" s="4"/>
      <c r="O345" s="16"/>
      <c r="P345" s="4"/>
      <c r="Q345" s="4"/>
      <c r="R345" s="4"/>
      <c r="S345" s="4"/>
    </row>
    <row r="346" spans="1:19" ht="15.75" customHeight="1" x14ac:dyDescent="0.2">
      <c r="A346" s="16"/>
      <c r="B346" s="4"/>
      <c r="C346" s="16"/>
      <c r="D346" s="4"/>
      <c r="E346" s="16"/>
      <c r="F346" s="16"/>
      <c r="G346" s="4"/>
      <c r="H346" s="4"/>
      <c r="I346" s="16"/>
      <c r="J346" s="4"/>
      <c r="K346" s="16"/>
      <c r="L346" s="4"/>
      <c r="M346" s="19"/>
      <c r="N346" s="4"/>
      <c r="O346" s="16"/>
      <c r="P346" s="4"/>
      <c r="Q346" s="4"/>
      <c r="R346" s="4"/>
      <c r="S346" s="4"/>
    </row>
    <row r="347" spans="1:19" ht="15.75" customHeight="1" x14ac:dyDescent="0.2">
      <c r="A347" s="16"/>
      <c r="B347" s="4"/>
      <c r="C347" s="16"/>
      <c r="D347" s="4"/>
      <c r="E347" s="16"/>
      <c r="F347" s="16"/>
      <c r="G347" s="4"/>
      <c r="H347" s="4"/>
      <c r="I347" s="16"/>
      <c r="J347" s="4"/>
      <c r="K347" s="16"/>
      <c r="L347" s="4"/>
      <c r="M347" s="19"/>
      <c r="N347" s="4"/>
      <c r="O347" s="16"/>
      <c r="P347" s="4"/>
      <c r="Q347" s="4"/>
      <c r="R347" s="4"/>
      <c r="S347" s="4"/>
    </row>
    <row r="348" spans="1:19" ht="15.75" customHeight="1" x14ac:dyDescent="0.2">
      <c r="A348" s="16"/>
      <c r="B348" s="4"/>
      <c r="C348" s="16"/>
      <c r="D348" s="4"/>
      <c r="E348" s="16"/>
      <c r="F348" s="16"/>
      <c r="G348" s="4"/>
      <c r="H348" s="4"/>
      <c r="I348" s="16"/>
      <c r="J348" s="4"/>
      <c r="K348" s="16"/>
      <c r="L348" s="4"/>
      <c r="M348" s="19"/>
      <c r="N348" s="4"/>
      <c r="O348" s="16"/>
      <c r="P348" s="4"/>
      <c r="Q348" s="4"/>
      <c r="R348" s="4"/>
      <c r="S348" s="4"/>
    </row>
    <row r="349" spans="1:19" ht="15.75" customHeight="1" x14ac:dyDescent="0.2">
      <c r="A349" s="16"/>
      <c r="B349" s="4"/>
      <c r="C349" s="16"/>
      <c r="D349" s="4"/>
      <c r="E349" s="16"/>
      <c r="F349" s="16"/>
      <c r="G349" s="4"/>
      <c r="H349" s="4"/>
      <c r="I349" s="16"/>
      <c r="J349" s="4"/>
      <c r="K349" s="16"/>
      <c r="L349" s="4"/>
      <c r="M349" s="19"/>
      <c r="N349" s="4"/>
      <c r="O349" s="16"/>
      <c r="P349" s="4"/>
      <c r="Q349" s="4"/>
      <c r="R349" s="4"/>
      <c r="S349" s="4"/>
    </row>
    <row r="350" spans="1:19" ht="15.75" customHeight="1" x14ac:dyDescent="0.2">
      <c r="A350" s="16"/>
      <c r="B350" s="4"/>
      <c r="C350" s="16"/>
      <c r="D350" s="4"/>
      <c r="E350" s="16"/>
      <c r="F350" s="16"/>
      <c r="G350" s="4"/>
      <c r="H350" s="4"/>
      <c r="I350" s="16"/>
      <c r="J350" s="4"/>
      <c r="K350" s="16"/>
      <c r="L350" s="4"/>
      <c r="M350" s="19"/>
      <c r="N350" s="4"/>
      <c r="O350" s="16"/>
      <c r="P350" s="4"/>
      <c r="Q350" s="4"/>
      <c r="R350" s="4"/>
      <c r="S350" s="4"/>
    </row>
    <row r="351" spans="1:19" ht="15.75" customHeight="1" x14ac:dyDescent="0.2">
      <c r="A351" s="16"/>
      <c r="B351" s="4"/>
      <c r="C351" s="16"/>
      <c r="D351" s="4"/>
      <c r="E351" s="16"/>
      <c r="F351" s="16"/>
      <c r="G351" s="4"/>
      <c r="H351" s="4"/>
      <c r="I351" s="16"/>
      <c r="J351" s="4"/>
      <c r="K351" s="16"/>
      <c r="L351" s="4"/>
      <c r="M351" s="19"/>
      <c r="N351" s="4"/>
      <c r="O351" s="16"/>
      <c r="P351" s="4"/>
      <c r="Q351" s="4"/>
      <c r="R351" s="4"/>
      <c r="S351" s="4"/>
    </row>
    <row r="352" spans="1:19" ht="15.75" customHeight="1" x14ac:dyDescent="0.2">
      <c r="A352" s="16"/>
      <c r="B352" s="4"/>
      <c r="C352" s="16"/>
      <c r="D352" s="4"/>
      <c r="E352" s="16"/>
      <c r="F352" s="16"/>
      <c r="G352" s="4"/>
      <c r="H352" s="4"/>
      <c r="I352" s="16"/>
      <c r="J352" s="4"/>
      <c r="K352" s="16"/>
      <c r="L352" s="4"/>
      <c r="M352" s="19"/>
      <c r="N352" s="4"/>
      <c r="O352" s="16"/>
      <c r="P352" s="4"/>
      <c r="Q352" s="4"/>
      <c r="R352" s="4"/>
      <c r="S352" s="4"/>
    </row>
    <row r="353" spans="1:19" ht="15.75" customHeight="1" x14ac:dyDescent="0.2">
      <c r="A353" s="16"/>
      <c r="B353" s="4"/>
      <c r="C353" s="16"/>
      <c r="D353" s="4"/>
      <c r="E353" s="16"/>
      <c r="F353" s="16"/>
      <c r="G353" s="4"/>
      <c r="H353" s="4"/>
      <c r="I353" s="16"/>
      <c r="J353" s="4"/>
      <c r="K353" s="16"/>
      <c r="L353" s="4"/>
      <c r="M353" s="19"/>
      <c r="N353" s="4"/>
      <c r="O353" s="16"/>
      <c r="P353" s="4"/>
      <c r="Q353" s="4"/>
      <c r="R353" s="4"/>
      <c r="S353" s="4"/>
    </row>
    <row r="354" spans="1:19" ht="15.75" customHeight="1" x14ac:dyDescent="0.2">
      <c r="A354" s="16"/>
      <c r="B354" s="4"/>
      <c r="C354" s="16"/>
      <c r="D354" s="4"/>
      <c r="E354" s="16"/>
      <c r="F354" s="16"/>
      <c r="G354" s="4"/>
      <c r="H354" s="4"/>
      <c r="I354" s="16"/>
      <c r="J354" s="4"/>
      <c r="K354" s="16"/>
      <c r="L354" s="4"/>
      <c r="M354" s="19"/>
      <c r="N354" s="4"/>
      <c r="O354" s="16"/>
      <c r="P354" s="4"/>
      <c r="Q354" s="4"/>
      <c r="R354" s="4"/>
      <c r="S354" s="4"/>
    </row>
    <row r="355" spans="1:19" ht="15.75" customHeight="1" x14ac:dyDescent="0.2">
      <c r="A355" s="16"/>
      <c r="B355" s="4"/>
      <c r="C355" s="16"/>
      <c r="D355" s="4"/>
      <c r="E355" s="16"/>
      <c r="F355" s="16"/>
      <c r="G355" s="4"/>
      <c r="H355" s="4"/>
      <c r="I355" s="16"/>
      <c r="J355" s="4"/>
      <c r="K355" s="16"/>
      <c r="L355" s="4"/>
      <c r="M355" s="19"/>
      <c r="N355" s="4"/>
      <c r="O355" s="16"/>
      <c r="P355" s="4"/>
      <c r="Q355" s="4"/>
      <c r="R355" s="4"/>
      <c r="S355" s="4"/>
    </row>
    <row r="356" spans="1:19" ht="15.75" customHeight="1" x14ac:dyDescent="0.2">
      <c r="A356" s="16"/>
      <c r="B356" s="4"/>
      <c r="C356" s="16"/>
      <c r="D356" s="4"/>
      <c r="E356" s="16"/>
      <c r="F356" s="16"/>
      <c r="G356" s="4"/>
      <c r="H356" s="4"/>
      <c r="I356" s="16"/>
      <c r="J356" s="4"/>
      <c r="K356" s="16"/>
      <c r="L356" s="4"/>
      <c r="M356" s="19"/>
      <c r="N356" s="4"/>
      <c r="O356" s="16"/>
      <c r="P356" s="4"/>
      <c r="Q356" s="4"/>
      <c r="R356" s="4"/>
      <c r="S356" s="4"/>
    </row>
    <row r="357" spans="1:19" ht="15.75" customHeight="1" x14ac:dyDescent="0.2">
      <c r="A357" s="16"/>
      <c r="B357" s="4"/>
      <c r="C357" s="16"/>
      <c r="D357" s="4"/>
      <c r="E357" s="16"/>
      <c r="F357" s="16"/>
      <c r="G357" s="4"/>
      <c r="H357" s="4"/>
      <c r="I357" s="16"/>
      <c r="J357" s="4"/>
      <c r="K357" s="16"/>
      <c r="L357" s="4"/>
      <c r="M357" s="19"/>
      <c r="N357" s="4"/>
      <c r="O357" s="16"/>
      <c r="P357" s="4"/>
      <c r="Q357" s="4"/>
      <c r="R357" s="4"/>
      <c r="S357" s="4"/>
    </row>
    <row r="358" spans="1:19" ht="15.75" customHeight="1" x14ac:dyDescent="0.2">
      <c r="A358" s="16"/>
      <c r="B358" s="4"/>
      <c r="C358" s="16"/>
      <c r="D358" s="4"/>
      <c r="E358" s="16"/>
      <c r="F358" s="16"/>
      <c r="G358" s="4"/>
      <c r="H358" s="4"/>
      <c r="I358" s="16"/>
      <c r="J358" s="4"/>
      <c r="K358" s="16"/>
      <c r="L358" s="4"/>
      <c r="M358" s="19"/>
      <c r="N358" s="4"/>
      <c r="O358" s="16"/>
      <c r="P358" s="4"/>
      <c r="Q358" s="4"/>
      <c r="R358" s="4"/>
      <c r="S358" s="4"/>
    </row>
    <row r="359" spans="1:19" ht="15.75" customHeight="1" x14ac:dyDescent="0.2">
      <c r="A359" s="16"/>
      <c r="B359" s="4"/>
      <c r="C359" s="16"/>
      <c r="D359" s="4"/>
      <c r="E359" s="16"/>
      <c r="F359" s="16"/>
      <c r="G359" s="4"/>
      <c r="H359" s="4"/>
      <c r="I359" s="16"/>
      <c r="J359" s="4"/>
      <c r="K359" s="16"/>
      <c r="L359" s="4"/>
      <c r="M359" s="19"/>
      <c r="N359" s="4"/>
      <c r="O359" s="16"/>
      <c r="P359" s="4"/>
      <c r="Q359" s="4"/>
      <c r="R359" s="4"/>
      <c r="S359" s="4"/>
    </row>
    <row r="360" spans="1:19" ht="15.75" customHeight="1" x14ac:dyDescent="0.2">
      <c r="A360" s="16"/>
      <c r="B360" s="4"/>
      <c r="C360" s="16"/>
      <c r="D360" s="4"/>
      <c r="E360" s="16"/>
      <c r="F360" s="16"/>
      <c r="G360" s="4"/>
      <c r="H360" s="4"/>
      <c r="I360" s="16"/>
      <c r="J360" s="4"/>
      <c r="K360" s="16"/>
      <c r="L360" s="4"/>
      <c r="M360" s="19"/>
      <c r="N360" s="4"/>
      <c r="O360" s="16"/>
      <c r="P360" s="4"/>
      <c r="Q360" s="4"/>
      <c r="R360" s="4"/>
      <c r="S360" s="4"/>
    </row>
    <row r="361" spans="1:19" ht="15.75" customHeight="1" x14ac:dyDescent="0.2">
      <c r="A361" s="16"/>
      <c r="B361" s="4"/>
      <c r="C361" s="16"/>
      <c r="D361" s="4"/>
      <c r="E361" s="16"/>
      <c r="F361" s="16"/>
      <c r="G361" s="4"/>
      <c r="H361" s="4"/>
      <c r="I361" s="16"/>
      <c r="J361" s="4"/>
      <c r="K361" s="16"/>
      <c r="L361" s="4"/>
      <c r="M361" s="19"/>
      <c r="N361" s="4"/>
      <c r="O361" s="16"/>
      <c r="P361" s="4"/>
      <c r="Q361" s="4"/>
      <c r="R361" s="4"/>
      <c r="S361" s="4"/>
    </row>
    <row r="362" spans="1:19" ht="15.75" customHeight="1" x14ac:dyDescent="0.2">
      <c r="A362" s="16"/>
      <c r="B362" s="4"/>
      <c r="C362" s="16"/>
      <c r="D362" s="4"/>
      <c r="E362" s="16"/>
      <c r="F362" s="16"/>
      <c r="G362" s="4"/>
      <c r="H362" s="4"/>
      <c r="I362" s="16"/>
      <c r="J362" s="4"/>
      <c r="K362" s="16"/>
      <c r="L362" s="4"/>
      <c r="M362" s="19"/>
      <c r="N362" s="4"/>
      <c r="O362" s="16"/>
      <c r="P362" s="4"/>
      <c r="Q362" s="4"/>
      <c r="R362" s="4"/>
      <c r="S362" s="4"/>
    </row>
    <row r="363" spans="1:19" ht="15.75" customHeight="1" x14ac:dyDescent="0.2">
      <c r="A363" s="16"/>
      <c r="B363" s="4"/>
      <c r="C363" s="16"/>
      <c r="D363" s="4"/>
      <c r="E363" s="16"/>
      <c r="F363" s="16"/>
      <c r="G363" s="4"/>
      <c r="H363" s="4"/>
      <c r="I363" s="16"/>
      <c r="J363" s="4"/>
      <c r="K363" s="16"/>
      <c r="L363" s="4"/>
      <c r="M363" s="19"/>
      <c r="N363" s="4"/>
      <c r="O363" s="16"/>
      <c r="P363" s="4"/>
      <c r="Q363" s="4"/>
      <c r="R363" s="4"/>
      <c r="S363" s="4"/>
    </row>
    <row r="364" spans="1:19" ht="15.75" customHeight="1" x14ac:dyDescent="0.2">
      <c r="A364" s="16"/>
      <c r="B364" s="4"/>
      <c r="C364" s="16"/>
      <c r="D364" s="4"/>
      <c r="E364" s="16"/>
      <c r="F364" s="16"/>
      <c r="G364" s="4"/>
      <c r="H364" s="4"/>
      <c r="I364" s="16"/>
      <c r="J364" s="4"/>
      <c r="K364" s="16"/>
      <c r="L364" s="4"/>
      <c r="M364" s="19"/>
      <c r="N364" s="4"/>
      <c r="O364" s="16"/>
      <c r="P364" s="4"/>
      <c r="Q364" s="4"/>
      <c r="R364" s="4"/>
      <c r="S364" s="4"/>
    </row>
    <row r="365" spans="1:19" ht="15.75" customHeight="1" x14ac:dyDescent="0.2">
      <c r="A365" s="16"/>
      <c r="B365" s="4"/>
      <c r="C365" s="16"/>
      <c r="D365" s="4"/>
      <c r="E365" s="16"/>
      <c r="F365" s="16"/>
      <c r="G365" s="4"/>
      <c r="H365" s="4"/>
      <c r="I365" s="16"/>
      <c r="J365" s="4"/>
      <c r="K365" s="16"/>
      <c r="L365" s="4"/>
      <c r="M365" s="19"/>
      <c r="N365" s="4"/>
      <c r="O365" s="16"/>
      <c r="P365" s="4"/>
      <c r="Q365" s="4"/>
      <c r="R365" s="4"/>
      <c r="S365" s="4"/>
    </row>
    <row r="366" spans="1:19" ht="15.75" customHeight="1" x14ac:dyDescent="0.2">
      <c r="A366" s="16"/>
      <c r="B366" s="4"/>
      <c r="C366" s="16"/>
      <c r="D366" s="4"/>
      <c r="E366" s="16"/>
      <c r="F366" s="16"/>
      <c r="G366" s="4"/>
      <c r="H366" s="4"/>
      <c r="I366" s="16"/>
      <c r="J366" s="4"/>
      <c r="K366" s="16"/>
      <c r="L366" s="4"/>
      <c r="M366" s="19"/>
      <c r="N366" s="4"/>
      <c r="O366" s="16"/>
      <c r="P366" s="4"/>
      <c r="Q366" s="4"/>
      <c r="R366" s="4"/>
      <c r="S366" s="4"/>
    </row>
    <row r="367" spans="1:19" ht="15.75" customHeight="1" x14ac:dyDescent="0.2">
      <c r="A367" s="16"/>
      <c r="B367" s="4"/>
      <c r="C367" s="16"/>
      <c r="D367" s="4"/>
      <c r="E367" s="16"/>
      <c r="F367" s="16"/>
      <c r="G367" s="4"/>
      <c r="H367" s="4"/>
      <c r="I367" s="16"/>
      <c r="J367" s="4"/>
      <c r="K367" s="16"/>
      <c r="L367" s="4"/>
      <c r="M367" s="19"/>
      <c r="N367" s="4"/>
      <c r="O367" s="16"/>
      <c r="P367" s="4"/>
      <c r="Q367" s="4"/>
      <c r="R367" s="4"/>
      <c r="S367" s="4"/>
    </row>
    <row r="368" spans="1:19" ht="15.75" customHeight="1" x14ac:dyDescent="0.2">
      <c r="A368" s="16"/>
      <c r="B368" s="4"/>
      <c r="C368" s="16"/>
      <c r="D368" s="4"/>
      <c r="E368" s="16"/>
      <c r="F368" s="16"/>
      <c r="G368" s="4"/>
      <c r="H368" s="4"/>
      <c r="I368" s="16"/>
      <c r="J368" s="4"/>
      <c r="K368" s="16"/>
      <c r="L368" s="4"/>
      <c r="M368" s="19"/>
      <c r="N368" s="4"/>
      <c r="O368" s="16"/>
      <c r="P368" s="4"/>
      <c r="Q368" s="4"/>
      <c r="R368" s="4"/>
      <c r="S368" s="4"/>
    </row>
    <row r="369" spans="1:19" ht="15.75" customHeight="1" x14ac:dyDescent="0.2">
      <c r="A369" s="16"/>
      <c r="B369" s="4"/>
      <c r="C369" s="16"/>
      <c r="D369" s="4"/>
      <c r="E369" s="16"/>
      <c r="F369" s="16"/>
      <c r="G369" s="4"/>
      <c r="H369" s="4"/>
      <c r="I369" s="16"/>
      <c r="J369" s="4"/>
      <c r="K369" s="16"/>
      <c r="L369" s="4"/>
      <c r="M369" s="19"/>
      <c r="N369" s="4"/>
      <c r="O369" s="16"/>
      <c r="P369" s="4"/>
      <c r="Q369" s="4"/>
      <c r="R369" s="4"/>
      <c r="S369" s="4"/>
    </row>
    <row r="370" spans="1:19" ht="15.75" customHeight="1" x14ac:dyDescent="0.2">
      <c r="A370" s="16"/>
      <c r="B370" s="4"/>
      <c r="C370" s="16"/>
      <c r="D370" s="4"/>
      <c r="E370" s="16"/>
      <c r="F370" s="16"/>
      <c r="G370" s="4"/>
      <c r="H370" s="4"/>
      <c r="I370" s="16"/>
      <c r="J370" s="4"/>
      <c r="K370" s="16"/>
      <c r="L370" s="4"/>
      <c r="M370" s="19"/>
      <c r="N370" s="4"/>
      <c r="O370" s="16"/>
      <c r="P370" s="4"/>
      <c r="Q370" s="4"/>
      <c r="R370" s="4"/>
      <c r="S370" s="4"/>
    </row>
    <row r="371" spans="1:19" ht="15.75" customHeight="1" x14ac:dyDescent="0.2">
      <c r="A371" s="16"/>
      <c r="B371" s="4"/>
      <c r="C371" s="16"/>
      <c r="D371" s="4"/>
      <c r="E371" s="16"/>
      <c r="F371" s="16"/>
      <c r="G371" s="4"/>
      <c r="H371" s="4"/>
      <c r="I371" s="16"/>
      <c r="J371" s="4"/>
      <c r="K371" s="16"/>
      <c r="L371" s="4"/>
      <c r="M371" s="19"/>
      <c r="N371" s="4"/>
      <c r="O371" s="16"/>
      <c r="P371" s="4"/>
      <c r="Q371" s="4"/>
      <c r="R371" s="4"/>
      <c r="S371" s="4"/>
    </row>
    <row r="372" spans="1:19" ht="15.75" customHeight="1" x14ac:dyDescent="0.2">
      <c r="A372" s="16"/>
      <c r="B372" s="4"/>
      <c r="C372" s="16"/>
      <c r="D372" s="4"/>
      <c r="E372" s="16"/>
      <c r="F372" s="16"/>
      <c r="G372" s="4"/>
      <c r="H372" s="4"/>
      <c r="I372" s="16"/>
      <c r="J372" s="4"/>
      <c r="K372" s="16"/>
      <c r="L372" s="4"/>
      <c r="M372" s="19"/>
      <c r="N372" s="4"/>
      <c r="O372" s="16"/>
      <c r="P372" s="4"/>
      <c r="Q372" s="4"/>
      <c r="R372" s="4"/>
      <c r="S372" s="4"/>
    </row>
    <row r="373" spans="1:19" ht="15.75" customHeight="1" x14ac:dyDescent="0.2">
      <c r="A373" s="16"/>
      <c r="B373" s="4"/>
      <c r="C373" s="16"/>
      <c r="D373" s="4"/>
      <c r="E373" s="16"/>
      <c r="F373" s="16"/>
      <c r="G373" s="4"/>
      <c r="H373" s="4"/>
      <c r="I373" s="16"/>
      <c r="J373" s="4"/>
      <c r="K373" s="16"/>
      <c r="L373" s="4"/>
      <c r="M373" s="19"/>
      <c r="N373" s="4"/>
      <c r="O373" s="16"/>
      <c r="P373" s="4"/>
      <c r="Q373" s="4"/>
      <c r="R373" s="4"/>
      <c r="S373" s="4"/>
    </row>
    <row r="374" spans="1:19" ht="15.75" customHeight="1" x14ac:dyDescent="0.2">
      <c r="A374" s="16"/>
      <c r="B374" s="4"/>
      <c r="C374" s="16"/>
      <c r="D374" s="4"/>
      <c r="E374" s="16"/>
      <c r="F374" s="16"/>
      <c r="G374" s="4"/>
      <c r="H374" s="4"/>
      <c r="I374" s="16"/>
      <c r="J374" s="4"/>
      <c r="K374" s="16"/>
      <c r="L374" s="4"/>
      <c r="M374" s="19"/>
      <c r="N374" s="4"/>
      <c r="O374" s="16"/>
      <c r="P374" s="4"/>
      <c r="Q374" s="4"/>
      <c r="R374" s="4"/>
      <c r="S374" s="4"/>
    </row>
    <row r="375" spans="1:19" ht="15.75" customHeight="1" x14ac:dyDescent="0.2">
      <c r="A375" s="16"/>
      <c r="B375" s="4"/>
      <c r="C375" s="16"/>
      <c r="D375" s="4"/>
      <c r="E375" s="16"/>
      <c r="F375" s="16"/>
      <c r="G375" s="4"/>
      <c r="H375" s="4"/>
      <c r="I375" s="16"/>
      <c r="J375" s="4"/>
      <c r="K375" s="16"/>
      <c r="L375" s="4"/>
      <c r="M375" s="19"/>
      <c r="N375" s="4"/>
      <c r="O375" s="16"/>
      <c r="P375" s="4"/>
      <c r="Q375" s="4"/>
      <c r="R375" s="4"/>
      <c r="S375" s="4"/>
    </row>
    <row r="376" spans="1:19" ht="15.75" customHeight="1" x14ac:dyDescent="0.2">
      <c r="A376" s="16"/>
      <c r="B376" s="4"/>
      <c r="C376" s="16"/>
      <c r="D376" s="4"/>
      <c r="E376" s="16"/>
      <c r="F376" s="16"/>
      <c r="G376" s="4"/>
      <c r="H376" s="4"/>
      <c r="I376" s="16"/>
      <c r="J376" s="4"/>
      <c r="K376" s="16"/>
      <c r="L376" s="4"/>
      <c r="M376" s="19"/>
      <c r="N376" s="4"/>
      <c r="O376" s="16"/>
      <c r="P376" s="4"/>
      <c r="Q376" s="4"/>
      <c r="R376" s="4"/>
      <c r="S376" s="4"/>
    </row>
    <row r="377" spans="1:19" ht="15.75" customHeight="1" x14ac:dyDescent="0.2">
      <c r="A377" s="16"/>
      <c r="B377" s="4"/>
      <c r="C377" s="16"/>
      <c r="D377" s="4"/>
      <c r="E377" s="16"/>
      <c r="F377" s="16"/>
      <c r="G377" s="4"/>
      <c r="H377" s="4"/>
      <c r="I377" s="16"/>
      <c r="J377" s="4"/>
      <c r="K377" s="16"/>
      <c r="L377" s="4"/>
      <c r="M377" s="19"/>
      <c r="N377" s="4"/>
      <c r="O377" s="16"/>
      <c r="P377" s="4"/>
      <c r="Q377" s="4"/>
      <c r="R377" s="4"/>
      <c r="S377" s="4"/>
    </row>
    <row r="378" spans="1:19" ht="15.75" customHeight="1" x14ac:dyDescent="0.2">
      <c r="A378" s="16"/>
      <c r="B378" s="4"/>
      <c r="C378" s="16"/>
      <c r="D378" s="4"/>
      <c r="E378" s="16"/>
      <c r="F378" s="16"/>
      <c r="G378" s="4"/>
      <c r="H378" s="4"/>
      <c r="I378" s="16"/>
      <c r="J378" s="4"/>
      <c r="K378" s="16"/>
      <c r="L378" s="4"/>
      <c r="M378" s="19"/>
      <c r="N378" s="4"/>
      <c r="O378" s="16"/>
      <c r="P378" s="4"/>
      <c r="Q378" s="4"/>
      <c r="R378" s="4"/>
      <c r="S378" s="4"/>
    </row>
    <row r="379" spans="1:19" ht="15.75" customHeight="1" x14ac:dyDescent="0.2">
      <c r="A379" s="16"/>
      <c r="B379" s="4"/>
      <c r="C379" s="16"/>
      <c r="D379" s="4"/>
      <c r="E379" s="16"/>
      <c r="F379" s="16"/>
      <c r="G379" s="4"/>
      <c r="H379" s="4"/>
      <c r="I379" s="16"/>
      <c r="J379" s="4"/>
      <c r="K379" s="16"/>
      <c r="L379" s="4"/>
      <c r="M379" s="19"/>
      <c r="N379" s="4"/>
      <c r="O379" s="16"/>
      <c r="P379" s="4"/>
      <c r="Q379" s="4"/>
      <c r="R379" s="4"/>
      <c r="S379" s="4"/>
    </row>
    <row r="380" spans="1:19" ht="15.75" customHeight="1" x14ac:dyDescent="0.2">
      <c r="A380" s="16"/>
      <c r="B380" s="4"/>
      <c r="C380" s="16"/>
      <c r="D380" s="4"/>
      <c r="E380" s="16"/>
      <c r="F380" s="16"/>
      <c r="G380" s="4"/>
      <c r="H380" s="4"/>
      <c r="I380" s="16"/>
      <c r="J380" s="4"/>
      <c r="K380" s="16"/>
      <c r="L380" s="4"/>
      <c r="M380" s="19"/>
      <c r="N380" s="4"/>
      <c r="O380" s="16"/>
      <c r="P380" s="4"/>
      <c r="Q380" s="4"/>
      <c r="R380" s="4"/>
      <c r="S380" s="4"/>
    </row>
    <row r="381" spans="1:19" ht="15.75" customHeight="1" x14ac:dyDescent="0.2">
      <c r="A381" s="16"/>
      <c r="B381" s="4"/>
      <c r="C381" s="16"/>
      <c r="D381" s="4"/>
      <c r="E381" s="16"/>
      <c r="F381" s="16"/>
      <c r="G381" s="4"/>
      <c r="H381" s="4"/>
      <c r="I381" s="16"/>
      <c r="J381" s="4"/>
      <c r="K381" s="16"/>
      <c r="L381" s="4"/>
      <c r="M381" s="19"/>
      <c r="N381" s="4"/>
      <c r="O381" s="16"/>
      <c r="P381" s="4"/>
      <c r="Q381" s="4"/>
      <c r="R381" s="4"/>
      <c r="S381" s="4"/>
    </row>
    <row r="382" spans="1:19" ht="15.75" customHeight="1" x14ac:dyDescent="0.2">
      <c r="A382" s="16"/>
      <c r="B382" s="4"/>
      <c r="C382" s="16"/>
      <c r="D382" s="4"/>
      <c r="E382" s="16"/>
      <c r="F382" s="16"/>
      <c r="G382" s="4"/>
      <c r="H382" s="4"/>
      <c r="I382" s="16"/>
      <c r="J382" s="4"/>
      <c r="K382" s="16"/>
      <c r="L382" s="4"/>
      <c r="M382" s="19"/>
      <c r="N382" s="4"/>
      <c r="O382" s="16"/>
      <c r="P382" s="4"/>
      <c r="Q382" s="4"/>
      <c r="R382" s="4"/>
      <c r="S382" s="4"/>
    </row>
    <row r="383" spans="1:19" ht="15.75" customHeight="1" x14ac:dyDescent="0.2">
      <c r="A383" s="16"/>
      <c r="B383" s="4"/>
      <c r="C383" s="16"/>
      <c r="D383" s="4"/>
      <c r="E383" s="16"/>
      <c r="F383" s="16"/>
      <c r="G383" s="4"/>
      <c r="H383" s="4"/>
      <c r="I383" s="16"/>
      <c r="J383" s="4"/>
      <c r="K383" s="16"/>
      <c r="L383" s="4"/>
      <c r="M383" s="19"/>
      <c r="N383" s="4"/>
      <c r="O383" s="16"/>
      <c r="P383" s="4"/>
      <c r="Q383" s="4"/>
      <c r="R383" s="4"/>
      <c r="S383" s="4"/>
    </row>
    <row r="384" spans="1:19" ht="15.75" customHeight="1" x14ac:dyDescent="0.2">
      <c r="A384" s="16"/>
      <c r="B384" s="4"/>
      <c r="C384" s="16"/>
      <c r="D384" s="4"/>
      <c r="E384" s="16"/>
      <c r="F384" s="16"/>
      <c r="G384" s="4"/>
      <c r="H384" s="4"/>
      <c r="I384" s="16"/>
      <c r="J384" s="4"/>
      <c r="K384" s="16"/>
      <c r="L384" s="4"/>
      <c r="M384" s="19"/>
      <c r="N384" s="4"/>
      <c r="O384" s="16"/>
      <c r="P384" s="4"/>
      <c r="Q384" s="4"/>
      <c r="R384" s="4"/>
      <c r="S384" s="4"/>
    </row>
    <row r="385" spans="1:19" ht="15.75" customHeight="1" x14ac:dyDescent="0.2">
      <c r="A385" s="16"/>
      <c r="B385" s="4"/>
      <c r="C385" s="16"/>
      <c r="D385" s="4"/>
      <c r="E385" s="16"/>
      <c r="F385" s="16"/>
      <c r="G385" s="4"/>
      <c r="H385" s="4"/>
      <c r="I385" s="16"/>
      <c r="J385" s="4"/>
      <c r="K385" s="16"/>
      <c r="L385" s="4"/>
      <c r="M385" s="19"/>
      <c r="N385" s="4"/>
      <c r="O385" s="16"/>
      <c r="P385" s="4"/>
      <c r="Q385" s="4"/>
      <c r="R385" s="4"/>
      <c r="S385" s="4"/>
    </row>
    <row r="386" spans="1:19" ht="15.75" customHeight="1" x14ac:dyDescent="0.2">
      <c r="A386" s="16"/>
      <c r="B386" s="4"/>
      <c r="C386" s="16"/>
      <c r="D386" s="4"/>
      <c r="E386" s="16"/>
      <c r="F386" s="16"/>
      <c r="G386" s="4"/>
      <c r="H386" s="4"/>
      <c r="I386" s="16"/>
      <c r="J386" s="4"/>
      <c r="K386" s="16"/>
      <c r="L386" s="4"/>
      <c r="M386" s="19"/>
      <c r="N386" s="4"/>
      <c r="O386" s="16"/>
      <c r="P386" s="4"/>
      <c r="Q386" s="4"/>
      <c r="R386" s="4"/>
      <c r="S386" s="4"/>
    </row>
    <row r="387" spans="1:19" ht="15.75" customHeight="1" x14ac:dyDescent="0.2">
      <c r="A387" s="16"/>
      <c r="B387" s="4"/>
      <c r="C387" s="16"/>
      <c r="D387" s="4"/>
      <c r="E387" s="16"/>
      <c r="F387" s="16"/>
      <c r="G387" s="4"/>
      <c r="H387" s="4"/>
      <c r="I387" s="16"/>
      <c r="J387" s="4"/>
      <c r="K387" s="16"/>
      <c r="L387" s="4"/>
      <c r="M387" s="19"/>
      <c r="N387" s="4"/>
      <c r="O387" s="16"/>
      <c r="P387" s="4"/>
      <c r="Q387" s="4"/>
      <c r="R387" s="4"/>
      <c r="S387" s="4"/>
    </row>
    <row r="388" spans="1:19" ht="15.75" customHeight="1" x14ac:dyDescent="0.2">
      <c r="A388" s="16"/>
      <c r="B388" s="4"/>
      <c r="C388" s="16"/>
      <c r="D388" s="4"/>
      <c r="E388" s="16"/>
      <c r="F388" s="16"/>
      <c r="G388" s="4"/>
      <c r="H388" s="4"/>
      <c r="I388" s="16"/>
      <c r="J388" s="4"/>
      <c r="K388" s="16"/>
      <c r="L388" s="4"/>
      <c r="M388" s="19"/>
      <c r="N388" s="4"/>
      <c r="O388" s="16"/>
      <c r="P388" s="4"/>
      <c r="Q388" s="4"/>
      <c r="R388" s="4"/>
      <c r="S388" s="4"/>
    </row>
    <row r="389" spans="1:19" ht="15.75" customHeight="1" x14ac:dyDescent="0.2">
      <c r="A389" s="16"/>
      <c r="B389" s="4"/>
      <c r="C389" s="16"/>
      <c r="D389" s="4"/>
      <c r="E389" s="16"/>
      <c r="F389" s="16"/>
      <c r="G389" s="4"/>
      <c r="H389" s="4"/>
      <c r="I389" s="16"/>
      <c r="J389" s="4"/>
      <c r="K389" s="16"/>
      <c r="L389" s="4"/>
      <c r="M389" s="19"/>
      <c r="N389" s="4"/>
      <c r="O389" s="16"/>
      <c r="P389" s="4"/>
      <c r="Q389" s="4"/>
      <c r="R389" s="4"/>
      <c r="S389" s="4"/>
    </row>
    <row r="390" spans="1:19" ht="15.75" customHeight="1" x14ac:dyDescent="0.2">
      <c r="A390" s="16"/>
      <c r="B390" s="4"/>
      <c r="C390" s="16"/>
      <c r="D390" s="4"/>
      <c r="E390" s="16"/>
      <c r="F390" s="16"/>
      <c r="G390" s="4"/>
      <c r="H390" s="4"/>
      <c r="I390" s="16"/>
      <c r="J390" s="4"/>
      <c r="K390" s="16"/>
      <c r="L390" s="4"/>
      <c r="M390" s="19"/>
      <c r="N390" s="4"/>
      <c r="O390" s="16"/>
      <c r="P390" s="4"/>
      <c r="Q390" s="4"/>
      <c r="R390" s="4"/>
      <c r="S390" s="4"/>
    </row>
    <row r="391" spans="1:19" ht="15.75" customHeight="1" x14ac:dyDescent="0.2">
      <c r="A391" s="16"/>
      <c r="B391" s="4"/>
      <c r="C391" s="16"/>
      <c r="D391" s="4"/>
      <c r="E391" s="16"/>
      <c r="F391" s="16"/>
      <c r="G391" s="4"/>
      <c r="H391" s="4"/>
      <c r="I391" s="16"/>
      <c r="J391" s="4"/>
      <c r="K391" s="16"/>
      <c r="L391" s="4"/>
      <c r="M391" s="19"/>
      <c r="N391" s="4"/>
      <c r="O391" s="16"/>
      <c r="P391" s="4"/>
      <c r="Q391" s="4"/>
      <c r="R391" s="4"/>
      <c r="S391" s="4"/>
    </row>
    <row r="392" spans="1:19" ht="15.75" customHeight="1" x14ac:dyDescent="0.2">
      <c r="A392" s="16"/>
      <c r="B392" s="4"/>
      <c r="C392" s="16"/>
      <c r="D392" s="4"/>
      <c r="E392" s="16"/>
      <c r="F392" s="16"/>
      <c r="G392" s="4"/>
      <c r="H392" s="4"/>
      <c r="I392" s="16"/>
      <c r="J392" s="4"/>
      <c r="K392" s="16"/>
      <c r="L392" s="4"/>
      <c r="M392" s="19"/>
      <c r="N392" s="4"/>
      <c r="O392" s="16"/>
      <c r="P392" s="4"/>
      <c r="Q392" s="4"/>
      <c r="R392" s="4"/>
      <c r="S392" s="4"/>
    </row>
    <row r="393" spans="1:19" ht="15.75" customHeight="1" x14ac:dyDescent="0.2">
      <c r="A393" s="16"/>
      <c r="B393" s="4"/>
      <c r="C393" s="16"/>
      <c r="D393" s="4"/>
      <c r="E393" s="16"/>
      <c r="F393" s="16"/>
      <c r="G393" s="4"/>
      <c r="H393" s="4"/>
      <c r="I393" s="16"/>
      <c r="J393" s="4"/>
      <c r="K393" s="16"/>
      <c r="L393" s="4"/>
      <c r="M393" s="19"/>
      <c r="N393" s="4"/>
      <c r="O393" s="16"/>
      <c r="P393" s="4"/>
      <c r="Q393" s="4"/>
      <c r="R393" s="4"/>
      <c r="S393" s="4"/>
    </row>
    <row r="394" spans="1:19" ht="15.75" customHeight="1" x14ac:dyDescent="0.2">
      <c r="A394" s="16"/>
      <c r="B394" s="4"/>
      <c r="C394" s="16"/>
      <c r="D394" s="4"/>
      <c r="E394" s="16"/>
      <c r="F394" s="16"/>
      <c r="G394" s="4"/>
      <c r="H394" s="4"/>
      <c r="I394" s="16"/>
      <c r="J394" s="4"/>
      <c r="K394" s="16"/>
      <c r="L394" s="4"/>
      <c r="M394" s="19"/>
      <c r="N394" s="4"/>
      <c r="O394" s="16"/>
      <c r="P394" s="4"/>
      <c r="Q394" s="4"/>
      <c r="R394" s="4"/>
      <c r="S394" s="4"/>
    </row>
    <row r="395" spans="1:19" ht="15.75" customHeight="1" x14ac:dyDescent="0.2">
      <c r="A395" s="16"/>
      <c r="B395" s="4"/>
      <c r="C395" s="16"/>
      <c r="D395" s="4"/>
      <c r="E395" s="16"/>
      <c r="F395" s="16"/>
      <c r="G395" s="4"/>
      <c r="H395" s="4"/>
      <c r="I395" s="16"/>
      <c r="J395" s="4"/>
      <c r="K395" s="16"/>
      <c r="L395" s="4"/>
      <c r="M395" s="19"/>
      <c r="N395" s="4"/>
      <c r="O395" s="16"/>
      <c r="P395" s="4"/>
      <c r="Q395" s="4"/>
      <c r="R395" s="4"/>
      <c r="S395" s="4"/>
    </row>
    <row r="396" spans="1:19" ht="15.75" customHeight="1" x14ac:dyDescent="0.2">
      <c r="A396" s="16"/>
      <c r="B396" s="4"/>
      <c r="C396" s="16"/>
      <c r="D396" s="4"/>
      <c r="E396" s="16"/>
      <c r="F396" s="16"/>
      <c r="G396" s="4"/>
      <c r="H396" s="4"/>
      <c r="I396" s="16"/>
      <c r="J396" s="4"/>
      <c r="K396" s="16"/>
      <c r="L396" s="4"/>
      <c r="M396" s="19"/>
      <c r="N396" s="4"/>
      <c r="O396" s="16"/>
      <c r="P396" s="4"/>
      <c r="Q396" s="4"/>
      <c r="R396" s="4"/>
      <c r="S396" s="4"/>
    </row>
    <row r="397" spans="1:19" ht="15.75" customHeight="1" x14ac:dyDescent="0.2">
      <c r="A397" s="16"/>
      <c r="B397" s="4"/>
      <c r="C397" s="16"/>
      <c r="D397" s="4"/>
      <c r="E397" s="16"/>
      <c r="F397" s="16"/>
      <c r="G397" s="4"/>
      <c r="H397" s="4"/>
      <c r="I397" s="16"/>
      <c r="J397" s="4"/>
      <c r="K397" s="16"/>
      <c r="L397" s="4"/>
      <c r="M397" s="19"/>
      <c r="N397" s="4"/>
      <c r="O397" s="16"/>
      <c r="P397" s="4"/>
      <c r="Q397" s="4"/>
      <c r="R397" s="4"/>
      <c r="S397" s="4"/>
    </row>
    <row r="398" spans="1:19" ht="15.75" customHeight="1" x14ac:dyDescent="0.2">
      <c r="A398" s="16"/>
      <c r="B398" s="4"/>
      <c r="C398" s="16"/>
      <c r="D398" s="4"/>
      <c r="E398" s="16"/>
      <c r="F398" s="16"/>
      <c r="G398" s="4"/>
      <c r="H398" s="4"/>
      <c r="I398" s="16"/>
      <c r="J398" s="4"/>
      <c r="K398" s="16"/>
      <c r="L398" s="4"/>
      <c r="M398" s="19"/>
      <c r="N398" s="4"/>
      <c r="O398" s="16"/>
      <c r="P398" s="4"/>
      <c r="Q398" s="4"/>
      <c r="R398" s="4"/>
      <c r="S398" s="4"/>
    </row>
    <row r="399" spans="1:19" ht="15.75" customHeight="1" x14ac:dyDescent="0.2">
      <c r="A399" s="16"/>
      <c r="B399" s="4"/>
      <c r="C399" s="16"/>
      <c r="D399" s="4"/>
      <c r="E399" s="16"/>
      <c r="F399" s="16"/>
      <c r="G399" s="4"/>
      <c r="H399" s="4"/>
      <c r="I399" s="16"/>
      <c r="J399" s="4"/>
      <c r="K399" s="16"/>
      <c r="L399" s="4"/>
      <c r="M399" s="19"/>
      <c r="N399" s="4"/>
      <c r="O399" s="16"/>
      <c r="P399" s="4"/>
      <c r="Q399" s="4"/>
      <c r="R399" s="4"/>
      <c r="S399" s="4"/>
    </row>
    <row r="400" spans="1:19" ht="15.75" customHeight="1" x14ac:dyDescent="0.2">
      <c r="A400" s="16"/>
      <c r="B400" s="4"/>
      <c r="C400" s="16"/>
      <c r="D400" s="4"/>
      <c r="E400" s="16"/>
      <c r="F400" s="16"/>
      <c r="G400" s="4"/>
      <c r="H400" s="4"/>
      <c r="I400" s="16"/>
      <c r="J400" s="4"/>
      <c r="K400" s="16"/>
      <c r="L400" s="4"/>
      <c r="M400" s="19"/>
      <c r="N400" s="4"/>
      <c r="O400" s="16"/>
      <c r="P400" s="4"/>
      <c r="Q400" s="4"/>
      <c r="R400" s="4"/>
      <c r="S400" s="4"/>
    </row>
    <row r="401" spans="1:19" ht="15.75" customHeight="1" x14ac:dyDescent="0.2">
      <c r="A401" s="16"/>
      <c r="B401" s="4"/>
      <c r="C401" s="16"/>
      <c r="D401" s="4"/>
      <c r="E401" s="16"/>
      <c r="F401" s="16"/>
      <c r="G401" s="4"/>
      <c r="H401" s="4"/>
      <c r="I401" s="16"/>
      <c r="J401" s="4"/>
      <c r="K401" s="16"/>
      <c r="L401" s="4"/>
      <c r="M401" s="19"/>
      <c r="N401" s="4"/>
      <c r="O401" s="16"/>
      <c r="P401" s="4"/>
      <c r="Q401" s="4"/>
      <c r="R401" s="4"/>
      <c r="S401" s="4"/>
    </row>
    <row r="402" spans="1:19" ht="15.75" customHeight="1" x14ac:dyDescent="0.2">
      <c r="A402" s="16"/>
      <c r="B402" s="4"/>
      <c r="C402" s="16"/>
      <c r="D402" s="4"/>
      <c r="E402" s="16"/>
      <c r="F402" s="16"/>
      <c r="G402" s="4"/>
      <c r="H402" s="4"/>
      <c r="I402" s="16"/>
      <c r="J402" s="4"/>
      <c r="K402" s="16"/>
      <c r="L402" s="4"/>
      <c r="M402" s="19"/>
      <c r="N402" s="4"/>
      <c r="O402" s="16"/>
      <c r="P402" s="4"/>
      <c r="Q402" s="4"/>
      <c r="R402" s="4"/>
      <c r="S402" s="4"/>
    </row>
    <row r="403" spans="1:19" ht="15.75" customHeight="1" x14ac:dyDescent="0.2">
      <c r="A403" s="16"/>
      <c r="B403" s="4"/>
      <c r="C403" s="16"/>
      <c r="D403" s="4"/>
      <c r="E403" s="16"/>
      <c r="F403" s="16"/>
      <c r="G403" s="4"/>
      <c r="H403" s="4"/>
      <c r="I403" s="16"/>
      <c r="J403" s="4"/>
      <c r="K403" s="16"/>
      <c r="L403" s="4"/>
      <c r="M403" s="19"/>
      <c r="N403" s="4"/>
      <c r="O403" s="16"/>
      <c r="P403" s="4"/>
      <c r="Q403" s="4"/>
      <c r="R403" s="4"/>
      <c r="S403" s="4"/>
    </row>
    <row r="404" spans="1:19" ht="15.75" customHeight="1" x14ac:dyDescent="0.2">
      <c r="A404" s="16"/>
      <c r="B404" s="4"/>
      <c r="C404" s="16"/>
      <c r="D404" s="4"/>
      <c r="E404" s="16"/>
      <c r="F404" s="16"/>
      <c r="G404" s="4"/>
      <c r="H404" s="4"/>
      <c r="I404" s="16"/>
      <c r="J404" s="4"/>
      <c r="K404" s="16"/>
      <c r="L404" s="4"/>
      <c r="M404" s="19"/>
      <c r="N404" s="4"/>
      <c r="O404" s="16"/>
      <c r="P404" s="4"/>
      <c r="Q404" s="4"/>
      <c r="R404" s="4"/>
      <c r="S404" s="4"/>
    </row>
    <row r="405" spans="1:19" ht="15.75" customHeight="1" x14ac:dyDescent="0.2">
      <c r="A405" s="16"/>
      <c r="B405" s="4"/>
      <c r="C405" s="16"/>
      <c r="D405" s="4"/>
      <c r="E405" s="16"/>
      <c r="F405" s="16"/>
      <c r="G405" s="4"/>
      <c r="H405" s="4"/>
      <c r="I405" s="16"/>
      <c r="J405" s="4"/>
      <c r="K405" s="16"/>
      <c r="L405" s="4"/>
      <c r="M405" s="19"/>
      <c r="N405" s="4"/>
      <c r="O405" s="16"/>
      <c r="P405" s="4"/>
      <c r="Q405" s="4"/>
      <c r="R405" s="4"/>
      <c r="S405" s="4"/>
    </row>
    <row r="406" spans="1:19" ht="15.75" customHeight="1" x14ac:dyDescent="0.2">
      <c r="A406" s="16"/>
      <c r="B406" s="4"/>
      <c r="C406" s="16"/>
      <c r="D406" s="4"/>
      <c r="E406" s="16"/>
      <c r="F406" s="16"/>
      <c r="G406" s="4"/>
      <c r="H406" s="4"/>
      <c r="I406" s="16"/>
      <c r="J406" s="4"/>
      <c r="K406" s="16"/>
      <c r="L406" s="4"/>
      <c r="M406" s="19"/>
      <c r="N406" s="4"/>
      <c r="O406" s="16"/>
      <c r="P406" s="4"/>
      <c r="Q406" s="4"/>
      <c r="R406" s="4"/>
      <c r="S406" s="4"/>
    </row>
    <row r="407" spans="1:19" ht="15.75" customHeight="1" x14ac:dyDescent="0.2">
      <c r="A407" s="16"/>
      <c r="B407" s="4"/>
      <c r="C407" s="16"/>
      <c r="D407" s="4"/>
      <c r="E407" s="16"/>
      <c r="F407" s="16"/>
      <c r="G407" s="4"/>
      <c r="H407" s="4"/>
      <c r="I407" s="16"/>
      <c r="J407" s="4"/>
      <c r="K407" s="16"/>
      <c r="L407" s="4"/>
      <c r="M407" s="19"/>
      <c r="N407" s="4"/>
      <c r="O407" s="16"/>
      <c r="P407" s="4"/>
      <c r="Q407" s="4"/>
      <c r="R407" s="4"/>
      <c r="S407" s="4"/>
    </row>
    <row r="408" spans="1:19" ht="15.75" customHeight="1" x14ac:dyDescent="0.2">
      <c r="A408" s="16"/>
      <c r="B408" s="4"/>
      <c r="C408" s="16"/>
      <c r="D408" s="4"/>
      <c r="E408" s="16"/>
      <c r="F408" s="16"/>
      <c r="G408" s="4"/>
      <c r="H408" s="4"/>
      <c r="I408" s="16"/>
      <c r="J408" s="4"/>
      <c r="K408" s="16"/>
      <c r="L408" s="4"/>
      <c r="M408" s="19"/>
      <c r="N408" s="4"/>
      <c r="O408" s="16"/>
      <c r="P408" s="4"/>
      <c r="Q408" s="4"/>
      <c r="R408" s="4"/>
      <c r="S408" s="4"/>
    </row>
    <row r="409" spans="1:19" ht="15.75" customHeight="1" x14ac:dyDescent="0.2">
      <c r="A409" s="16"/>
      <c r="B409" s="4"/>
      <c r="C409" s="16"/>
      <c r="D409" s="4"/>
      <c r="E409" s="16"/>
      <c r="F409" s="16"/>
      <c r="G409" s="4"/>
      <c r="H409" s="4"/>
      <c r="I409" s="16"/>
      <c r="J409" s="4"/>
      <c r="K409" s="16"/>
      <c r="L409" s="4"/>
      <c r="M409" s="19"/>
      <c r="N409" s="4"/>
      <c r="O409" s="16"/>
      <c r="P409" s="4"/>
      <c r="Q409" s="4"/>
      <c r="R409" s="4"/>
      <c r="S409" s="4"/>
    </row>
    <row r="410" spans="1:19" ht="15.75" customHeight="1" x14ac:dyDescent="0.2">
      <c r="A410" s="16"/>
      <c r="B410" s="4"/>
      <c r="C410" s="16"/>
      <c r="D410" s="4"/>
      <c r="E410" s="16"/>
      <c r="F410" s="16"/>
      <c r="G410" s="4"/>
      <c r="H410" s="4"/>
      <c r="I410" s="16"/>
      <c r="J410" s="4"/>
      <c r="K410" s="16"/>
      <c r="L410" s="4"/>
      <c r="M410" s="19"/>
      <c r="N410" s="4"/>
      <c r="O410" s="16"/>
      <c r="P410" s="4"/>
      <c r="Q410" s="4"/>
      <c r="R410" s="4"/>
      <c r="S410" s="4"/>
    </row>
    <row r="411" spans="1:19" ht="15.75" customHeight="1" x14ac:dyDescent="0.2">
      <c r="A411" s="16"/>
      <c r="B411" s="4"/>
      <c r="C411" s="16"/>
      <c r="D411" s="4"/>
      <c r="E411" s="16"/>
      <c r="F411" s="16"/>
      <c r="G411" s="4"/>
      <c r="H411" s="4"/>
      <c r="I411" s="16"/>
      <c r="J411" s="4"/>
      <c r="K411" s="16"/>
      <c r="L411" s="4"/>
      <c r="M411" s="19"/>
      <c r="N411" s="4"/>
      <c r="O411" s="16"/>
      <c r="P411" s="4"/>
      <c r="Q411" s="4"/>
      <c r="R411" s="4"/>
      <c r="S411" s="4"/>
    </row>
    <row r="412" spans="1:19" ht="15.75" customHeight="1" x14ac:dyDescent="0.2">
      <c r="A412" s="16"/>
      <c r="B412" s="4"/>
      <c r="C412" s="16"/>
      <c r="D412" s="4"/>
      <c r="E412" s="16"/>
      <c r="F412" s="16"/>
      <c r="G412" s="4"/>
      <c r="H412" s="4"/>
      <c r="I412" s="16"/>
      <c r="J412" s="4"/>
      <c r="K412" s="16"/>
      <c r="L412" s="4"/>
      <c r="M412" s="19"/>
      <c r="N412" s="4"/>
      <c r="O412" s="16"/>
      <c r="P412" s="4"/>
      <c r="Q412" s="4"/>
      <c r="R412" s="4"/>
      <c r="S412" s="4"/>
    </row>
    <row r="413" spans="1:19" ht="15.75" customHeight="1" x14ac:dyDescent="0.2">
      <c r="A413" s="16"/>
      <c r="B413" s="4"/>
      <c r="C413" s="16"/>
      <c r="D413" s="4"/>
      <c r="E413" s="16"/>
      <c r="F413" s="16"/>
      <c r="G413" s="4"/>
      <c r="H413" s="4"/>
      <c r="I413" s="16"/>
      <c r="J413" s="4"/>
      <c r="K413" s="16"/>
      <c r="L413" s="4"/>
      <c r="M413" s="19"/>
      <c r="N413" s="4"/>
      <c r="O413" s="16"/>
      <c r="P413" s="4"/>
      <c r="Q413" s="4"/>
      <c r="R413" s="4"/>
      <c r="S413" s="4"/>
    </row>
    <row r="414" spans="1:19" ht="15.75" customHeight="1" x14ac:dyDescent="0.2">
      <c r="A414" s="16"/>
      <c r="B414" s="4"/>
      <c r="C414" s="16"/>
      <c r="D414" s="4"/>
      <c r="E414" s="16"/>
      <c r="F414" s="16"/>
      <c r="G414" s="4"/>
      <c r="H414" s="4"/>
      <c r="I414" s="16"/>
      <c r="J414" s="4"/>
      <c r="K414" s="16"/>
      <c r="L414" s="4"/>
      <c r="M414" s="19"/>
      <c r="N414" s="4"/>
      <c r="O414" s="16"/>
      <c r="P414" s="4"/>
      <c r="Q414" s="4"/>
      <c r="R414" s="4"/>
      <c r="S414" s="4"/>
    </row>
    <row r="415" spans="1:19" ht="15.75" customHeight="1" x14ac:dyDescent="0.2">
      <c r="A415" s="16"/>
      <c r="B415" s="4"/>
      <c r="C415" s="16"/>
      <c r="D415" s="4"/>
      <c r="E415" s="16"/>
      <c r="F415" s="16"/>
      <c r="G415" s="4"/>
      <c r="H415" s="4"/>
      <c r="I415" s="16"/>
      <c r="J415" s="4"/>
      <c r="K415" s="16"/>
      <c r="L415" s="4"/>
      <c r="M415" s="19"/>
      <c r="N415" s="4"/>
      <c r="O415" s="16"/>
      <c r="P415" s="4"/>
      <c r="Q415" s="4"/>
      <c r="R415" s="4"/>
      <c r="S415" s="4"/>
    </row>
    <row r="416" spans="1:19" ht="15.75" customHeight="1" x14ac:dyDescent="0.2">
      <c r="A416" s="16"/>
      <c r="B416" s="4"/>
      <c r="C416" s="16"/>
      <c r="D416" s="4"/>
      <c r="E416" s="16"/>
      <c r="F416" s="16"/>
      <c r="G416" s="4"/>
      <c r="H416" s="4"/>
      <c r="I416" s="16"/>
      <c r="J416" s="4"/>
      <c r="K416" s="16"/>
      <c r="L416" s="4"/>
      <c r="M416" s="19"/>
      <c r="N416" s="4"/>
      <c r="O416" s="16"/>
      <c r="P416" s="4"/>
      <c r="Q416" s="4"/>
      <c r="R416" s="4"/>
      <c r="S416" s="4"/>
    </row>
    <row r="417" spans="1:19" ht="15.75" customHeight="1" x14ac:dyDescent="0.2">
      <c r="A417" s="16"/>
      <c r="B417" s="4"/>
      <c r="C417" s="16"/>
      <c r="D417" s="4"/>
      <c r="E417" s="16"/>
      <c r="F417" s="16"/>
      <c r="G417" s="4"/>
      <c r="H417" s="4"/>
      <c r="I417" s="16"/>
      <c r="J417" s="4"/>
      <c r="K417" s="16"/>
      <c r="L417" s="4"/>
      <c r="M417" s="19"/>
      <c r="N417" s="4"/>
      <c r="O417" s="16"/>
      <c r="P417" s="4"/>
      <c r="Q417" s="4"/>
      <c r="R417" s="4"/>
      <c r="S417" s="4"/>
    </row>
    <row r="418" spans="1:19" ht="15.75" customHeight="1" x14ac:dyDescent="0.2">
      <c r="A418" s="16"/>
      <c r="B418" s="4"/>
      <c r="C418" s="16"/>
      <c r="D418" s="4"/>
      <c r="E418" s="16"/>
      <c r="F418" s="16"/>
      <c r="G418" s="4"/>
      <c r="H418" s="4"/>
      <c r="I418" s="16"/>
      <c r="J418" s="4"/>
      <c r="K418" s="16"/>
      <c r="L418" s="4"/>
      <c r="M418" s="19"/>
      <c r="N418" s="4"/>
      <c r="O418" s="16"/>
      <c r="P418" s="4"/>
      <c r="Q418" s="4"/>
      <c r="R418" s="4"/>
      <c r="S418" s="4"/>
    </row>
    <row r="419" spans="1:19" ht="15.75" customHeight="1" x14ac:dyDescent="0.2">
      <c r="A419" s="16"/>
      <c r="B419" s="4"/>
      <c r="C419" s="16"/>
      <c r="D419" s="4"/>
      <c r="E419" s="16"/>
      <c r="F419" s="16"/>
      <c r="G419" s="4"/>
      <c r="H419" s="4"/>
      <c r="I419" s="16"/>
      <c r="J419" s="4"/>
      <c r="K419" s="16"/>
      <c r="L419" s="4"/>
      <c r="M419" s="19"/>
      <c r="N419" s="4"/>
      <c r="O419" s="16"/>
      <c r="P419" s="4"/>
      <c r="Q419" s="4"/>
      <c r="R419" s="4"/>
      <c r="S419" s="4"/>
    </row>
    <row r="420" spans="1:19" ht="15.75" customHeight="1" x14ac:dyDescent="0.2">
      <c r="A420" s="16"/>
      <c r="B420" s="4"/>
      <c r="C420" s="16"/>
      <c r="D420" s="4"/>
      <c r="E420" s="16"/>
      <c r="F420" s="16"/>
      <c r="G420" s="4"/>
      <c r="H420" s="4"/>
      <c r="I420" s="16"/>
      <c r="J420" s="4"/>
      <c r="K420" s="16"/>
      <c r="L420" s="4"/>
      <c r="M420" s="19"/>
      <c r="N420" s="4"/>
      <c r="O420" s="16"/>
      <c r="P420" s="4"/>
      <c r="Q420" s="4"/>
      <c r="R420" s="4"/>
      <c r="S420" s="4"/>
    </row>
    <row r="421" spans="1:19" ht="15.75" customHeight="1" x14ac:dyDescent="0.2">
      <c r="A421" s="16"/>
      <c r="B421" s="4"/>
      <c r="C421" s="16"/>
      <c r="D421" s="4"/>
      <c r="E421" s="16"/>
      <c r="F421" s="16"/>
      <c r="G421" s="4"/>
      <c r="H421" s="4"/>
      <c r="I421" s="16"/>
      <c r="J421" s="4"/>
      <c r="K421" s="16"/>
      <c r="L421" s="4"/>
      <c r="M421" s="19"/>
      <c r="N421" s="4"/>
      <c r="O421" s="16"/>
      <c r="P421" s="4"/>
      <c r="Q421" s="4"/>
      <c r="R421" s="4"/>
      <c r="S421" s="4"/>
    </row>
    <row r="422" spans="1:19" ht="15.75" customHeight="1" x14ac:dyDescent="0.2">
      <c r="A422" s="16"/>
      <c r="B422" s="4"/>
      <c r="C422" s="16"/>
      <c r="D422" s="4"/>
      <c r="E422" s="16"/>
      <c r="F422" s="16"/>
      <c r="G422" s="4"/>
      <c r="H422" s="4"/>
      <c r="I422" s="16"/>
      <c r="J422" s="4"/>
      <c r="K422" s="16"/>
      <c r="L422" s="4"/>
      <c r="M422" s="19"/>
      <c r="N422" s="4"/>
      <c r="O422" s="16"/>
      <c r="P422" s="4"/>
      <c r="Q422" s="4"/>
      <c r="R422" s="4"/>
      <c r="S422" s="4"/>
    </row>
    <row r="423" spans="1:19" ht="15.75" customHeight="1" x14ac:dyDescent="0.2">
      <c r="A423" s="16"/>
      <c r="B423" s="4"/>
      <c r="C423" s="16"/>
      <c r="D423" s="4"/>
      <c r="E423" s="16"/>
      <c r="F423" s="16"/>
      <c r="G423" s="4"/>
      <c r="H423" s="4"/>
      <c r="I423" s="16"/>
      <c r="J423" s="4"/>
      <c r="K423" s="16"/>
      <c r="L423" s="4"/>
      <c r="M423" s="19"/>
      <c r="N423" s="4"/>
      <c r="O423" s="16"/>
      <c r="P423" s="4"/>
      <c r="Q423" s="4"/>
      <c r="R423" s="4"/>
      <c r="S423" s="4"/>
    </row>
    <row r="424" spans="1:19" ht="15.75" customHeight="1" x14ac:dyDescent="0.2">
      <c r="A424" s="16"/>
      <c r="B424" s="4"/>
      <c r="C424" s="16"/>
      <c r="D424" s="4"/>
      <c r="E424" s="16"/>
      <c r="F424" s="16"/>
      <c r="G424" s="4"/>
      <c r="H424" s="4"/>
      <c r="I424" s="16"/>
      <c r="J424" s="4"/>
      <c r="K424" s="16"/>
      <c r="L424" s="4"/>
      <c r="M424" s="19"/>
      <c r="N424" s="4"/>
      <c r="O424" s="16"/>
      <c r="P424" s="4"/>
      <c r="Q424" s="4"/>
      <c r="R424" s="4"/>
      <c r="S424" s="4"/>
    </row>
    <row r="425" spans="1:19" ht="15.75" customHeight="1" x14ac:dyDescent="0.2">
      <c r="A425" s="16"/>
      <c r="B425" s="4"/>
      <c r="C425" s="16"/>
      <c r="D425" s="4"/>
      <c r="E425" s="16"/>
      <c r="F425" s="16"/>
      <c r="G425" s="4"/>
      <c r="H425" s="4"/>
      <c r="I425" s="16"/>
      <c r="J425" s="4"/>
      <c r="K425" s="16"/>
      <c r="L425" s="4"/>
      <c r="M425" s="19"/>
      <c r="N425" s="4"/>
      <c r="O425" s="16"/>
      <c r="P425" s="4"/>
      <c r="Q425" s="4"/>
      <c r="R425" s="4"/>
      <c r="S425" s="4"/>
    </row>
    <row r="426" spans="1:19" ht="15.75" customHeight="1" x14ac:dyDescent="0.2">
      <c r="A426" s="16"/>
      <c r="B426" s="4"/>
      <c r="C426" s="16"/>
      <c r="D426" s="4"/>
      <c r="E426" s="16"/>
      <c r="F426" s="16"/>
      <c r="G426" s="4"/>
      <c r="H426" s="4"/>
      <c r="I426" s="16"/>
      <c r="J426" s="4"/>
      <c r="K426" s="16"/>
      <c r="L426" s="4"/>
      <c r="M426" s="19"/>
      <c r="N426" s="4"/>
      <c r="O426" s="16"/>
      <c r="P426" s="4"/>
      <c r="Q426" s="4"/>
      <c r="R426" s="4"/>
      <c r="S426" s="4"/>
    </row>
    <row r="427" spans="1:19" ht="15.75" customHeight="1" x14ac:dyDescent="0.2">
      <c r="A427" s="16"/>
      <c r="B427" s="4"/>
      <c r="C427" s="16"/>
      <c r="D427" s="4"/>
      <c r="E427" s="16"/>
      <c r="F427" s="16"/>
      <c r="G427" s="4"/>
      <c r="H427" s="4"/>
      <c r="I427" s="16"/>
      <c r="J427" s="4"/>
      <c r="K427" s="16"/>
      <c r="L427" s="4"/>
      <c r="M427" s="19"/>
      <c r="N427" s="4"/>
      <c r="O427" s="16"/>
      <c r="P427" s="4"/>
      <c r="Q427" s="4"/>
      <c r="R427" s="4"/>
      <c r="S427" s="4"/>
    </row>
    <row r="428" spans="1:19" ht="15.75" customHeight="1" x14ac:dyDescent="0.2">
      <c r="A428" s="16"/>
      <c r="B428" s="4"/>
      <c r="C428" s="16"/>
      <c r="D428" s="4"/>
      <c r="E428" s="16"/>
      <c r="F428" s="16"/>
      <c r="G428" s="4"/>
      <c r="H428" s="4"/>
      <c r="I428" s="16"/>
      <c r="J428" s="4"/>
      <c r="K428" s="16"/>
      <c r="L428" s="4"/>
      <c r="M428" s="19"/>
      <c r="N428" s="4"/>
      <c r="O428" s="16"/>
      <c r="P428" s="4"/>
      <c r="Q428" s="4"/>
      <c r="R428" s="4"/>
      <c r="S428" s="4"/>
    </row>
    <row r="429" spans="1:19" ht="15.75" customHeight="1" x14ac:dyDescent="0.2">
      <c r="A429" s="16"/>
      <c r="B429" s="4"/>
      <c r="C429" s="16"/>
      <c r="D429" s="4"/>
      <c r="E429" s="16"/>
      <c r="F429" s="16"/>
      <c r="G429" s="4"/>
      <c r="H429" s="4"/>
      <c r="I429" s="16"/>
      <c r="J429" s="4"/>
      <c r="K429" s="16"/>
      <c r="L429" s="4"/>
      <c r="M429" s="19"/>
      <c r="N429" s="4"/>
      <c r="O429" s="16"/>
      <c r="P429" s="4"/>
      <c r="Q429" s="4"/>
      <c r="R429" s="4"/>
      <c r="S429" s="4"/>
    </row>
    <row r="430" spans="1:19" ht="15.75" customHeight="1" x14ac:dyDescent="0.2">
      <c r="A430" s="16"/>
      <c r="B430" s="4"/>
      <c r="C430" s="16"/>
      <c r="D430" s="4"/>
      <c r="E430" s="16"/>
      <c r="F430" s="16"/>
      <c r="G430" s="4"/>
      <c r="H430" s="4"/>
      <c r="I430" s="16"/>
      <c r="J430" s="4"/>
      <c r="K430" s="16"/>
      <c r="L430" s="4"/>
      <c r="M430" s="19"/>
      <c r="N430" s="4"/>
      <c r="O430" s="16"/>
      <c r="P430" s="4"/>
      <c r="Q430" s="4"/>
      <c r="R430" s="4"/>
      <c r="S430" s="4"/>
    </row>
    <row r="431" spans="1:19" ht="15.75" customHeight="1" x14ac:dyDescent="0.2">
      <c r="A431" s="16"/>
      <c r="B431" s="4"/>
      <c r="C431" s="16"/>
      <c r="D431" s="4"/>
      <c r="E431" s="16"/>
      <c r="F431" s="16"/>
      <c r="G431" s="4"/>
      <c r="H431" s="4"/>
      <c r="I431" s="16"/>
      <c r="J431" s="4"/>
      <c r="K431" s="16"/>
      <c r="L431" s="4"/>
      <c r="M431" s="19"/>
      <c r="N431" s="4"/>
      <c r="O431" s="16"/>
      <c r="P431" s="4"/>
      <c r="Q431" s="4"/>
      <c r="R431" s="4"/>
      <c r="S431" s="4"/>
    </row>
    <row r="432" spans="1:19" ht="15.75" customHeight="1" x14ac:dyDescent="0.2">
      <c r="A432" s="16"/>
      <c r="B432" s="4"/>
      <c r="C432" s="16"/>
      <c r="D432" s="4"/>
      <c r="E432" s="16"/>
      <c r="F432" s="16"/>
      <c r="G432" s="4"/>
      <c r="H432" s="4"/>
      <c r="I432" s="16"/>
      <c r="J432" s="4"/>
      <c r="K432" s="16"/>
      <c r="L432" s="4"/>
      <c r="M432" s="19"/>
      <c r="N432" s="4"/>
      <c r="O432" s="16"/>
      <c r="P432" s="4"/>
      <c r="Q432" s="4"/>
      <c r="R432" s="4"/>
      <c r="S432" s="4"/>
    </row>
    <row r="433" spans="1:19" ht="15.75" customHeight="1" x14ac:dyDescent="0.2">
      <c r="A433" s="16"/>
      <c r="B433" s="4"/>
      <c r="C433" s="16"/>
      <c r="D433" s="4"/>
      <c r="E433" s="16"/>
      <c r="F433" s="16"/>
      <c r="G433" s="4"/>
      <c r="H433" s="4"/>
      <c r="I433" s="16"/>
      <c r="J433" s="4"/>
      <c r="K433" s="16"/>
      <c r="L433" s="4"/>
      <c r="M433" s="19"/>
      <c r="N433" s="4"/>
      <c r="O433" s="16"/>
      <c r="P433" s="4"/>
      <c r="Q433" s="4"/>
      <c r="R433" s="4"/>
      <c r="S433" s="4"/>
    </row>
    <row r="434" spans="1:19" ht="15.75" customHeight="1" x14ac:dyDescent="0.2">
      <c r="A434" s="16"/>
      <c r="B434" s="4"/>
      <c r="C434" s="16"/>
      <c r="D434" s="4"/>
      <c r="E434" s="16"/>
      <c r="F434" s="16"/>
      <c r="G434" s="4"/>
      <c r="H434" s="4"/>
      <c r="I434" s="16"/>
      <c r="J434" s="4"/>
      <c r="K434" s="16"/>
      <c r="L434" s="4"/>
      <c r="M434" s="19"/>
      <c r="N434" s="4"/>
      <c r="O434" s="16"/>
      <c r="P434" s="4"/>
      <c r="Q434" s="4"/>
      <c r="R434" s="4"/>
      <c r="S434" s="4"/>
    </row>
    <row r="435" spans="1:19" ht="15.75" customHeight="1" x14ac:dyDescent="0.2">
      <c r="A435" s="16"/>
      <c r="B435" s="4"/>
      <c r="C435" s="16"/>
      <c r="D435" s="4"/>
      <c r="E435" s="16"/>
      <c r="F435" s="16"/>
      <c r="G435" s="4"/>
      <c r="H435" s="4"/>
      <c r="I435" s="16"/>
      <c r="J435" s="4"/>
      <c r="K435" s="16"/>
      <c r="L435" s="4"/>
      <c r="M435" s="19"/>
      <c r="N435" s="4"/>
      <c r="O435" s="16"/>
      <c r="P435" s="4"/>
      <c r="Q435" s="4"/>
      <c r="R435" s="4"/>
      <c r="S435" s="4"/>
    </row>
    <row r="436" spans="1:19" ht="15.75" customHeight="1" x14ac:dyDescent="0.2">
      <c r="A436" s="16"/>
      <c r="B436" s="4"/>
      <c r="C436" s="16"/>
      <c r="D436" s="4"/>
      <c r="E436" s="16"/>
      <c r="F436" s="16"/>
      <c r="G436" s="4"/>
      <c r="H436" s="4"/>
      <c r="I436" s="16"/>
      <c r="J436" s="4"/>
      <c r="K436" s="16"/>
      <c r="L436" s="4"/>
      <c r="M436" s="19"/>
      <c r="N436" s="4"/>
      <c r="O436" s="16"/>
      <c r="P436" s="4"/>
      <c r="Q436" s="4"/>
      <c r="R436" s="4"/>
      <c r="S436" s="4"/>
    </row>
    <row r="437" spans="1:19" ht="15.75" customHeight="1" x14ac:dyDescent="0.2">
      <c r="A437" s="16"/>
      <c r="B437" s="4"/>
      <c r="C437" s="16"/>
      <c r="D437" s="4"/>
      <c r="E437" s="16"/>
      <c r="F437" s="16"/>
      <c r="G437" s="4"/>
      <c r="H437" s="4"/>
      <c r="I437" s="16"/>
      <c r="J437" s="4"/>
      <c r="K437" s="16"/>
      <c r="L437" s="4"/>
      <c r="M437" s="19"/>
      <c r="N437" s="4"/>
      <c r="O437" s="16"/>
      <c r="P437" s="4"/>
      <c r="Q437" s="4"/>
      <c r="R437" s="4"/>
      <c r="S437" s="4"/>
    </row>
    <row r="438" spans="1:19" ht="15.75" customHeight="1" x14ac:dyDescent="0.2">
      <c r="A438" s="16"/>
      <c r="B438" s="4"/>
      <c r="C438" s="16"/>
      <c r="D438" s="4"/>
      <c r="E438" s="16"/>
      <c r="F438" s="16"/>
      <c r="G438" s="4"/>
      <c r="H438" s="4"/>
      <c r="I438" s="16"/>
      <c r="J438" s="4"/>
      <c r="K438" s="16"/>
      <c r="L438" s="4"/>
      <c r="M438" s="19"/>
      <c r="N438" s="4"/>
      <c r="O438" s="16"/>
      <c r="P438" s="4"/>
      <c r="Q438" s="4"/>
      <c r="R438" s="4"/>
      <c r="S438" s="4"/>
    </row>
    <row r="439" spans="1:19" ht="15.75" customHeight="1" x14ac:dyDescent="0.2">
      <c r="A439" s="16"/>
      <c r="B439" s="4"/>
      <c r="C439" s="16"/>
      <c r="D439" s="4"/>
      <c r="E439" s="16"/>
      <c r="F439" s="16"/>
      <c r="G439" s="4"/>
      <c r="H439" s="4"/>
      <c r="I439" s="16"/>
      <c r="J439" s="4"/>
      <c r="K439" s="16"/>
      <c r="L439" s="4"/>
      <c r="M439" s="19"/>
      <c r="N439" s="4"/>
      <c r="O439" s="16"/>
      <c r="P439" s="4"/>
      <c r="Q439" s="4"/>
      <c r="R439" s="4"/>
      <c r="S439" s="4"/>
    </row>
    <row r="440" spans="1:19" ht="15.75" customHeight="1" x14ac:dyDescent="0.2">
      <c r="A440" s="16"/>
      <c r="B440" s="4"/>
      <c r="C440" s="16"/>
      <c r="D440" s="4"/>
      <c r="E440" s="16"/>
      <c r="F440" s="16"/>
      <c r="G440" s="4"/>
      <c r="H440" s="4"/>
      <c r="I440" s="16"/>
      <c r="J440" s="4"/>
      <c r="K440" s="16"/>
      <c r="L440" s="4"/>
      <c r="M440" s="19"/>
      <c r="N440" s="4"/>
      <c r="O440" s="16"/>
      <c r="P440" s="4"/>
      <c r="Q440" s="4"/>
      <c r="R440" s="4"/>
      <c r="S440" s="4"/>
    </row>
    <row r="441" spans="1:19" ht="15.75" customHeight="1" x14ac:dyDescent="0.2">
      <c r="A441" s="16"/>
      <c r="B441" s="4"/>
      <c r="C441" s="16"/>
      <c r="D441" s="4"/>
      <c r="E441" s="16"/>
      <c r="F441" s="16"/>
      <c r="G441" s="4"/>
      <c r="H441" s="4"/>
      <c r="I441" s="16"/>
      <c r="J441" s="4"/>
      <c r="K441" s="16"/>
      <c r="L441" s="4"/>
      <c r="M441" s="19"/>
      <c r="N441" s="4"/>
      <c r="O441" s="16"/>
      <c r="P441" s="4"/>
      <c r="Q441" s="4"/>
      <c r="R441" s="4"/>
      <c r="S441" s="4"/>
    </row>
    <row r="442" spans="1:19" ht="15.75" customHeight="1" x14ac:dyDescent="0.2">
      <c r="A442" s="16"/>
      <c r="B442" s="4"/>
      <c r="C442" s="16"/>
      <c r="D442" s="4"/>
      <c r="E442" s="16"/>
      <c r="F442" s="16"/>
      <c r="G442" s="4"/>
      <c r="H442" s="4"/>
      <c r="I442" s="16"/>
      <c r="J442" s="4"/>
      <c r="K442" s="16"/>
      <c r="L442" s="4"/>
      <c r="M442" s="19"/>
      <c r="N442" s="4"/>
      <c r="O442" s="16"/>
      <c r="P442" s="4"/>
      <c r="Q442" s="4"/>
      <c r="R442" s="4"/>
      <c r="S442" s="4"/>
    </row>
    <row r="443" spans="1:19" ht="15.75" customHeight="1" x14ac:dyDescent="0.2">
      <c r="A443" s="16"/>
      <c r="B443" s="4"/>
      <c r="C443" s="16"/>
      <c r="D443" s="4"/>
      <c r="E443" s="16"/>
      <c r="F443" s="16"/>
      <c r="G443" s="4"/>
      <c r="H443" s="4"/>
      <c r="I443" s="16"/>
      <c r="J443" s="4"/>
      <c r="K443" s="16"/>
      <c r="L443" s="4"/>
      <c r="M443" s="19"/>
      <c r="N443" s="4"/>
      <c r="O443" s="16"/>
      <c r="P443" s="4"/>
      <c r="Q443" s="4"/>
      <c r="R443" s="4"/>
      <c r="S443" s="4"/>
    </row>
    <row r="444" spans="1:19" ht="15.75" customHeight="1" x14ac:dyDescent="0.2">
      <c r="A444" s="16"/>
      <c r="B444" s="4"/>
      <c r="C444" s="16"/>
      <c r="D444" s="4"/>
      <c r="E444" s="16"/>
      <c r="F444" s="16"/>
      <c r="G444" s="4"/>
      <c r="H444" s="4"/>
      <c r="I444" s="16"/>
      <c r="J444" s="4"/>
      <c r="K444" s="16"/>
      <c r="L444" s="4"/>
      <c r="M444" s="19"/>
      <c r="N444" s="4"/>
      <c r="O444" s="16"/>
      <c r="P444" s="4"/>
      <c r="Q444" s="4"/>
      <c r="R444" s="4"/>
      <c r="S444" s="4"/>
    </row>
    <row r="445" spans="1:19" ht="15.75" customHeight="1" x14ac:dyDescent="0.2">
      <c r="A445" s="16"/>
      <c r="B445" s="4"/>
      <c r="C445" s="16"/>
      <c r="D445" s="4"/>
      <c r="E445" s="16"/>
      <c r="F445" s="16"/>
      <c r="G445" s="4"/>
      <c r="H445" s="4"/>
      <c r="I445" s="16"/>
      <c r="J445" s="4"/>
      <c r="K445" s="16"/>
      <c r="L445" s="4"/>
      <c r="M445" s="19"/>
      <c r="N445" s="4"/>
      <c r="O445" s="16"/>
      <c r="P445" s="4"/>
      <c r="Q445" s="4"/>
      <c r="R445" s="4"/>
      <c r="S445" s="4"/>
    </row>
    <row r="446" spans="1:19" ht="15.75" customHeight="1" x14ac:dyDescent="0.2">
      <c r="A446" s="16"/>
      <c r="B446" s="4"/>
      <c r="C446" s="16"/>
      <c r="D446" s="4"/>
      <c r="E446" s="16"/>
      <c r="F446" s="16"/>
      <c r="G446" s="4"/>
      <c r="H446" s="4"/>
      <c r="I446" s="16"/>
      <c r="J446" s="4"/>
      <c r="K446" s="16"/>
      <c r="L446" s="4"/>
      <c r="M446" s="19"/>
      <c r="N446" s="4"/>
      <c r="O446" s="16"/>
      <c r="P446" s="4"/>
      <c r="Q446" s="4"/>
      <c r="R446" s="4"/>
      <c r="S446" s="4"/>
    </row>
    <row r="447" spans="1:19" ht="15.75" customHeight="1" x14ac:dyDescent="0.2">
      <c r="A447" s="16"/>
      <c r="B447" s="4"/>
      <c r="C447" s="16"/>
      <c r="D447" s="4"/>
      <c r="E447" s="16"/>
      <c r="F447" s="16"/>
      <c r="G447" s="4"/>
      <c r="H447" s="4"/>
      <c r="I447" s="16"/>
      <c r="J447" s="4"/>
      <c r="K447" s="16"/>
      <c r="L447" s="4"/>
      <c r="M447" s="19"/>
      <c r="N447" s="4"/>
      <c r="O447" s="16"/>
      <c r="P447" s="4"/>
      <c r="Q447" s="4"/>
      <c r="R447" s="4"/>
      <c r="S447" s="4"/>
    </row>
    <row r="448" spans="1:19" ht="15.75" customHeight="1" x14ac:dyDescent="0.2">
      <c r="A448" s="16"/>
      <c r="B448" s="4"/>
      <c r="C448" s="16"/>
      <c r="D448" s="4"/>
      <c r="E448" s="16"/>
      <c r="F448" s="16"/>
      <c r="G448" s="4"/>
      <c r="H448" s="4"/>
      <c r="I448" s="16"/>
      <c r="J448" s="4"/>
      <c r="K448" s="16"/>
      <c r="L448" s="4"/>
      <c r="M448" s="19"/>
      <c r="N448" s="4"/>
      <c r="O448" s="16"/>
      <c r="P448" s="4"/>
      <c r="Q448" s="4"/>
      <c r="R448" s="4"/>
      <c r="S448" s="4"/>
    </row>
    <row r="449" spans="1:19" ht="15.75" customHeight="1" x14ac:dyDescent="0.2">
      <c r="A449" s="16"/>
      <c r="B449" s="4"/>
      <c r="C449" s="16"/>
      <c r="D449" s="4"/>
      <c r="E449" s="16"/>
      <c r="F449" s="16"/>
      <c r="G449" s="4"/>
      <c r="H449" s="4"/>
      <c r="I449" s="16"/>
      <c r="J449" s="4"/>
      <c r="K449" s="16"/>
      <c r="L449" s="4"/>
      <c r="M449" s="19"/>
      <c r="N449" s="4"/>
      <c r="O449" s="16"/>
      <c r="P449" s="4"/>
      <c r="Q449" s="4"/>
      <c r="R449" s="4"/>
      <c r="S449" s="4"/>
    </row>
    <row r="450" spans="1:19" ht="15.75" customHeight="1" x14ac:dyDescent="0.2"/>
    <row r="451" spans="1:19" ht="15.75" customHeight="1" x14ac:dyDescent="0.2"/>
  </sheetData>
  <mergeCells count="5">
    <mergeCell ref="A2:B2"/>
    <mergeCell ref="A1:S1"/>
    <mergeCell ref="I2:L2"/>
    <mergeCell ref="C2:H2"/>
    <mergeCell ref="M2:Q2"/>
  </mergeCells>
  <phoneticPr fontId="3" type="noConversion"/>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KELLY MORALES MIRANDA</dc:creator>
  <cp:lastModifiedBy>DORITA AYDE QUEVEDO SALDAÑA</cp:lastModifiedBy>
  <cp:lastPrinted>2025-02-11T15:47:12Z</cp:lastPrinted>
  <dcterms:created xsi:type="dcterms:W3CDTF">2021-04-09T20:12:20Z</dcterms:created>
  <dcterms:modified xsi:type="dcterms:W3CDTF">2026-03-20T13:36:03Z</dcterms:modified>
</cp:coreProperties>
</file>